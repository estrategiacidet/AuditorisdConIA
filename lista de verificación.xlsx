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idet-my.sharepoint.com/personal/alejandra_marrugo_cidet_org_co/Documents/Estrategia/Piloto Gemini/"/>
    </mc:Choice>
  </mc:AlternateContent>
  <xr:revisionPtr revIDLastSave="2" documentId="13_ncr:1_{CDA51540-D6B4-401D-AED4-EB4009D51BB7}" xr6:coauthVersionLast="47" xr6:coauthVersionMax="47" xr10:uidLastSave="{833E0BC7-5EB5-4BCA-AFA2-5012658D0BC0}"/>
  <bookViews>
    <workbookView minimized="1" xWindow="1500" yWindow="1500" windowWidth="17280" windowHeight="9960" xr2:uid="{00000000-000D-0000-FFFF-FFFF00000000}"/>
  </bookViews>
  <sheets>
    <sheet name="lista de verificación" sheetId="2" r:id="rId1"/>
    <sheet name="Instrucciones" sheetId="1" r:id="rId2"/>
    <sheet name="Resumen" sheetId="3" r:id="rId3"/>
    <sheet name="Catalogos" sheetId="4" r:id="rId4"/>
    <sheet name="Fuentes_Notas" sheetId="6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11" i="3"/>
  <c r="J10" i="3"/>
  <c r="I10" i="3"/>
  <c r="H10" i="3"/>
  <c r="G10" i="3"/>
  <c r="F10" i="3"/>
  <c r="E10" i="3"/>
  <c r="J9" i="3"/>
  <c r="I9" i="3"/>
  <c r="H9" i="3"/>
  <c r="G9" i="3"/>
  <c r="F9" i="3"/>
  <c r="E9" i="3"/>
  <c r="J8" i="3"/>
  <c r="I8" i="3"/>
  <c r="H8" i="3"/>
  <c r="G8" i="3"/>
  <c r="F8" i="3"/>
  <c r="E8" i="3"/>
  <c r="B8" i="3"/>
  <c r="J7" i="3"/>
  <c r="I7" i="3"/>
  <c r="H7" i="3"/>
  <c r="G7" i="3"/>
  <c r="F7" i="3"/>
  <c r="E7" i="3"/>
  <c r="J6" i="3"/>
  <c r="I6" i="3"/>
  <c r="H6" i="3"/>
  <c r="G6" i="3"/>
  <c r="F6" i="3"/>
  <c r="E6" i="3"/>
  <c r="J5" i="3"/>
  <c r="I5" i="3"/>
  <c r="H5" i="3"/>
  <c r="G5" i="3"/>
  <c r="F5" i="3"/>
  <c r="E5" i="3"/>
  <c r="B5" i="3"/>
  <c r="J4" i="3"/>
  <c r="I4" i="3"/>
  <c r="H4" i="3"/>
  <c r="G4" i="3"/>
  <c r="F4" i="3"/>
  <c r="E4" i="3"/>
  <c r="B4" i="3"/>
  <c r="B3" i="3"/>
  <c r="U148" i="2"/>
  <c r="M148" i="2"/>
  <c r="U147" i="2"/>
  <c r="M147" i="2"/>
  <c r="U146" i="2"/>
  <c r="M146" i="2"/>
  <c r="U145" i="2"/>
  <c r="M145" i="2"/>
  <c r="U144" i="2"/>
  <c r="M144" i="2"/>
  <c r="U143" i="2"/>
  <c r="M143" i="2"/>
  <c r="U142" i="2"/>
  <c r="M142" i="2"/>
  <c r="U141" i="2"/>
  <c r="M141" i="2"/>
  <c r="U140" i="2"/>
  <c r="M140" i="2"/>
  <c r="U139" i="2"/>
  <c r="M139" i="2"/>
  <c r="U138" i="2"/>
  <c r="M138" i="2"/>
  <c r="U137" i="2"/>
  <c r="M137" i="2"/>
  <c r="U136" i="2"/>
  <c r="M136" i="2"/>
  <c r="K10" i="3"/>
  <c r="U135" i="2"/>
  <c r="M135" i="2"/>
  <c r="U134" i="2"/>
  <c r="M134" i="2"/>
  <c r="U133" i="2"/>
  <c r="M133" i="2"/>
  <c r="U132" i="2"/>
  <c r="M132" i="2"/>
  <c r="U131" i="2"/>
  <c r="M131" i="2"/>
  <c r="U130" i="2"/>
  <c r="M130" i="2"/>
  <c r="U129" i="2"/>
  <c r="M129" i="2"/>
  <c r="U128" i="2"/>
  <c r="M128" i="2"/>
  <c r="U127" i="2"/>
  <c r="M127" i="2"/>
  <c r="U126" i="2"/>
  <c r="M126" i="2"/>
  <c r="U125" i="2"/>
  <c r="M125" i="2"/>
  <c r="U124" i="2"/>
  <c r="M124" i="2"/>
  <c r="U123" i="2"/>
  <c r="M123" i="2"/>
  <c r="U122" i="2"/>
  <c r="M122" i="2"/>
  <c r="U121" i="2"/>
  <c r="M121" i="2"/>
  <c r="U120" i="2"/>
  <c r="M120" i="2"/>
  <c r="U119" i="2"/>
  <c r="M119" i="2"/>
  <c r="U118" i="2"/>
  <c r="M118" i="2"/>
  <c r="U117" i="2"/>
  <c r="M117" i="2"/>
  <c r="U116" i="2"/>
  <c r="M116" i="2"/>
  <c r="U115" i="2"/>
  <c r="M115" i="2"/>
  <c r="U114" i="2"/>
  <c r="M114" i="2"/>
  <c r="U113" i="2"/>
  <c r="M113" i="2"/>
  <c r="U112" i="2"/>
  <c r="M112" i="2"/>
  <c r="U111" i="2"/>
  <c r="M111" i="2"/>
  <c r="U110" i="2"/>
  <c r="M110" i="2"/>
  <c r="U109" i="2"/>
  <c r="M109" i="2"/>
  <c r="K9" i="3"/>
  <c r="U108" i="2"/>
  <c r="M108" i="2"/>
  <c r="U107" i="2"/>
  <c r="M107" i="2"/>
  <c r="U106" i="2"/>
  <c r="M106" i="2"/>
  <c r="U105" i="2"/>
  <c r="M105" i="2"/>
  <c r="U104" i="2"/>
  <c r="M104" i="2"/>
  <c r="U103" i="2"/>
  <c r="M103" i="2"/>
  <c r="U102" i="2"/>
  <c r="M102" i="2"/>
  <c r="U101" i="2"/>
  <c r="M101" i="2"/>
  <c r="U100" i="2"/>
  <c r="M100" i="2"/>
  <c r="U99" i="2"/>
  <c r="M99" i="2"/>
  <c r="U98" i="2"/>
  <c r="M98" i="2"/>
  <c r="U97" i="2"/>
  <c r="M97" i="2"/>
  <c r="U96" i="2"/>
  <c r="M96" i="2"/>
  <c r="U95" i="2"/>
  <c r="M95" i="2"/>
  <c r="U94" i="2"/>
  <c r="M94" i="2"/>
  <c r="U93" i="2"/>
  <c r="M93" i="2"/>
  <c r="U92" i="2"/>
  <c r="M92" i="2"/>
  <c r="U91" i="2"/>
  <c r="M91" i="2"/>
  <c r="U90" i="2"/>
  <c r="M90" i="2"/>
  <c r="U89" i="2"/>
  <c r="M89" i="2"/>
  <c r="U88" i="2"/>
  <c r="M88" i="2"/>
  <c r="U87" i="2"/>
  <c r="M87" i="2"/>
  <c r="U86" i="2"/>
  <c r="M86" i="2"/>
  <c r="U85" i="2"/>
  <c r="M85" i="2"/>
  <c r="K8" i="3"/>
  <c r="U84" i="2"/>
  <c r="M84" i="2"/>
  <c r="U83" i="2"/>
  <c r="M83" i="2"/>
  <c r="U82" i="2"/>
  <c r="M82" i="2"/>
  <c r="U81" i="2"/>
  <c r="M81" i="2"/>
  <c r="U80" i="2"/>
  <c r="M80" i="2"/>
  <c r="U79" i="2"/>
  <c r="M79" i="2"/>
  <c r="U78" i="2"/>
  <c r="M78" i="2"/>
  <c r="U77" i="2"/>
  <c r="M77" i="2"/>
  <c r="U76" i="2"/>
  <c r="M76" i="2"/>
  <c r="U75" i="2"/>
  <c r="M75" i="2"/>
  <c r="U74" i="2"/>
  <c r="M74" i="2"/>
  <c r="U73" i="2"/>
  <c r="M73" i="2"/>
  <c r="U72" i="2"/>
  <c r="M72" i="2"/>
  <c r="U71" i="2"/>
  <c r="M71" i="2"/>
  <c r="U70" i="2"/>
  <c r="M70" i="2"/>
  <c r="U69" i="2"/>
  <c r="M69" i="2"/>
  <c r="U68" i="2"/>
  <c r="M68" i="2"/>
  <c r="U67" i="2"/>
  <c r="M67" i="2"/>
  <c r="U66" i="2"/>
  <c r="M66" i="2"/>
  <c r="U65" i="2"/>
  <c r="M65" i="2"/>
  <c r="U64" i="2"/>
  <c r="M64" i="2"/>
  <c r="U63" i="2"/>
  <c r="M63" i="2"/>
  <c r="U62" i="2"/>
  <c r="M62" i="2"/>
  <c r="K7" i="3"/>
  <c r="U61" i="2"/>
  <c r="M61" i="2"/>
  <c r="U60" i="2"/>
  <c r="M60" i="2"/>
  <c r="U59" i="2"/>
  <c r="M59" i="2"/>
  <c r="U58" i="2"/>
  <c r="M58" i="2"/>
  <c r="U57" i="2"/>
  <c r="M57" i="2"/>
  <c r="U56" i="2"/>
  <c r="M56" i="2"/>
  <c r="U55" i="2"/>
  <c r="M55" i="2"/>
  <c r="U54" i="2"/>
  <c r="M54" i="2"/>
  <c r="U53" i="2"/>
  <c r="M53" i="2"/>
  <c r="U52" i="2"/>
  <c r="M52" i="2"/>
  <c r="U51" i="2"/>
  <c r="M51" i="2"/>
  <c r="U50" i="2"/>
  <c r="M50" i="2"/>
  <c r="U49" i="2"/>
  <c r="M49" i="2"/>
  <c r="U48" i="2"/>
  <c r="M48" i="2"/>
  <c r="U47" i="2"/>
  <c r="M47" i="2"/>
  <c r="U46" i="2"/>
  <c r="M46" i="2"/>
  <c r="U45" i="2"/>
  <c r="M45" i="2"/>
  <c r="U44" i="2"/>
  <c r="M44" i="2"/>
  <c r="U43" i="2"/>
  <c r="M43" i="2"/>
  <c r="U42" i="2"/>
  <c r="M42" i="2"/>
  <c r="U41" i="2"/>
  <c r="M41" i="2"/>
  <c r="U40" i="2"/>
  <c r="M40" i="2"/>
  <c r="U39" i="2"/>
  <c r="M39" i="2"/>
  <c r="U38" i="2"/>
  <c r="M38" i="2"/>
  <c r="U37" i="2"/>
  <c r="M37" i="2"/>
  <c r="U36" i="2"/>
  <c r="M36" i="2"/>
  <c r="U35" i="2"/>
  <c r="M35" i="2"/>
  <c r="U34" i="2"/>
  <c r="M34" i="2"/>
  <c r="U33" i="2"/>
  <c r="M33" i="2"/>
  <c r="U32" i="2"/>
  <c r="M32" i="2"/>
  <c r="U31" i="2"/>
  <c r="M31" i="2"/>
  <c r="U30" i="2"/>
  <c r="M30" i="2"/>
  <c r="K6" i="3"/>
  <c r="U29" i="2"/>
  <c r="M29" i="2"/>
  <c r="U28" i="2"/>
  <c r="M28" i="2"/>
  <c r="U27" i="2"/>
  <c r="M27" i="2"/>
  <c r="U26" i="2"/>
  <c r="M26" i="2"/>
  <c r="U25" i="2"/>
  <c r="M25" i="2"/>
  <c r="U24" i="2"/>
  <c r="M24" i="2"/>
  <c r="U23" i="2"/>
  <c r="M23" i="2"/>
  <c r="U22" i="2"/>
  <c r="M22" i="2"/>
  <c r="U21" i="2"/>
  <c r="M21" i="2"/>
  <c r="U20" i="2"/>
  <c r="M20" i="2"/>
  <c r="U19" i="2"/>
  <c r="M19" i="2"/>
  <c r="U18" i="2"/>
  <c r="M18" i="2"/>
  <c r="U17" i="2"/>
  <c r="M17" i="2"/>
  <c r="U16" i="2"/>
  <c r="M16" i="2"/>
  <c r="U15" i="2"/>
  <c r="M15" i="2"/>
  <c r="U14" i="2"/>
  <c r="M14" i="2"/>
  <c r="U13" i="2"/>
  <c r="M13" i="2"/>
  <c r="U12" i="2"/>
  <c r="M12" i="2"/>
  <c r="U11" i="2"/>
  <c r="M11" i="2"/>
  <c r="U10" i="2"/>
  <c r="M10" i="2"/>
  <c r="U9" i="2"/>
  <c r="M9" i="2"/>
  <c r="K5" i="3"/>
  <c r="U8" i="2"/>
  <c r="M8" i="2"/>
  <c r="U7" i="2"/>
  <c r="M7" i="2"/>
  <c r="U6" i="2"/>
  <c r="M6" i="2"/>
  <c r="U5" i="2"/>
  <c r="M5" i="2"/>
  <c r="U4" i="2"/>
  <c r="M4" i="2"/>
  <c r="U3" i="2"/>
  <c r="M3" i="2"/>
  <c r="U2" i="2"/>
  <c r="M2" i="2"/>
  <c r="B7" i="3"/>
  <c r="K4" i="3"/>
  <c r="B6" i="3"/>
</calcChain>
</file>

<file path=xl/sharedStrings.xml><?xml version="1.0" encoding="utf-8"?>
<sst xmlns="http://schemas.openxmlformats.org/spreadsheetml/2006/main" count="2169" uniqueCount="932">
  <si>
    <t>Lista de verificación de auditoría ISO 45001:2018 asistida con IA</t>
  </si>
  <si>
    <t>Fecha de creación: 2026-06-17</t>
  </si>
  <si>
    <t>Objetivo</t>
  </si>
  <si>
    <t>Usar esta matriz como guía de auditoría para Sistemas de Gestión de Seguridad y Salud en el Trabajo (SST) bajo ISO 45001:2018. La lista está parafraseada para facilitar su uso en entrevistas, revisión documental, observación y muestreo, y no sustituye la lectura de la norma.</t>
  </si>
  <si>
    <t>Cómo usar</t>
  </si>
  <si>
    <t>1. Filtre por capítulo, cláusula, método o rol para planear la auditoría.</t>
  </si>
  <si>
    <t>2. Para cada fila, solicite evidencia objetiva y registre el estado: Cumple, Cumple parcial, No cumple, No aplica o No evaluado.</t>
  </si>
  <si>
    <t>3. Use la columna 'Prompt IA sugerido' para analizar evidencia con IA. La IA debe trabajar solo con la evidencia suministrada y señalar incertidumbre.</t>
  </si>
  <si>
    <t>4. Registre evidencia encontrada, análisis/hallazgo, acción recomendada, responsable y fecha compromiso.</t>
  </si>
  <si>
    <t>5. Revise la hoja 'Resumen' para visualizar avance, conformidad y focos por capítulo.</t>
  </si>
  <si>
    <t>Escala sugerida</t>
  </si>
  <si>
    <t>Cumple = 1, Cumple parcial = 0,5, No cumple = 0. No aplica y No evaluado no se incluyen en el cálculo de conformidad.</t>
  </si>
  <si>
    <t>Criterio de hallazgo sugerido</t>
  </si>
  <si>
    <t>No conformidad mayor: ausencia sistemática o incumplimiento que compromete el resultado previsto del SG-SST o cumplimiento legal crítico.</t>
  </si>
  <si>
    <t>No conformidad menor: desviación puntual que no compromete de forma sistémica la eficacia del SG-SST.</t>
  </si>
  <si>
    <t>Observación / oportunidad de mejora: evidencia de debilidad, riesgo emergente o práctica mejorable sin incumplimiento confirmado.</t>
  </si>
  <si>
    <t>ID</t>
  </si>
  <si>
    <t>Ciclo PHVA</t>
  </si>
  <si>
    <t>Capítulo</t>
  </si>
  <si>
    <t>Cláusula</t>
  </si>
  <si>
    <t>Tema</t>
  </si>
  <si>
    <t>Requisito resumido (paráfrasis)</t>
  </si>
  <si>
    <t>Pregunta de auditoría</t>
  </si>
  <si>
    <t>Evidencia objetiva esperada</t>
  </si>
  <si>
    <t>Muestra sugerida</t>
  </si>
  <si>
    <t>Método sugerido</t>
  </si>
  <si>
    <t>Roles / áreas a entrevistar</t>
  </si>
  <si>
    <t>Estado</t>
  </si>
  <si>
    <t>Puntaje</t>
  </si>
  <si>
    <t>Tipo de hallazgo</t>
  </si>
  <si>
    <t>Criticidad</t>
  </si>
  <si>
    <t>Evidencia encontrada</t>
  </si>
  <si>
    <t>Análisis / hallazgo</t>
  </si>
  <si>
    <t>Acción recomendada</t>
  </si>
  <si>
    <t>Responsable</t>
  </si>
  <si>
    <t>Fecha compromiso</t>
  </si>
  <si>
    <t>Requiere acción correctiva</t>
  </si>
  <si>
    <t>Referencia norma</t>
  </si>
  <si>
    <t>Fuente</t>
  </si>
  <si>
    <t>Notas</t>
  </si>
  <si>
    <t>LV-001</t>
  </si>
  <si>
    <t>Contexto / Marco</t>
  </si>
  <si>
    <t>4 Contexto de la organización</t>
  </si>
  <si>
    <t>4.1</t>
  </si>
  <si>
    <t>Contexto interno y externo</t>
  </si>
  <si>
    <t>La organización identifica los factores internos y externos que pueden afectar el SG-SST y sus resultados previstos.</t>
  </si>
  <si>
    <t>¿La organización tiene identificadas y actualizadas las cuestiones internas y externas pertinentes al SG-SST?</t>
  </si>
  <si>
    <t>Matriz de contexto/DOFA/PESTEL, análisis estratégico, actas de dirección, revisión de cambios relevantes.</t>
  </si>
  <si>
    <t>Revise matriz/contexto y entreviste a 2-3 responsables de estrategia o SG-SST.</t>
  </si>
  <si>
    <t>Documental + Entrevista</t>
  </si>
  <si>
    <t>Alta dirección; responsable SG-SST; planeación/estrategia</t>
  </si>
  <si>
    <t>No evaluado</t>
  </si>
  <si>
    <t>ISO 45001:2018 4.1</t>
  </si>
  <si>
    <t>NTC-ISO 45001:2018</t>
  </si>
  <si>
    <t>LV-002</t>
  </si>
  <si>
    <t>Contexto aplicado al SG-SST</t>
  </si>
  <si>
    <t>El análisis del contexto se usa como insumo para la planificación y mejora del sistema.</t>
  </si>
  <si>
    <t>¿Las cuestiones identificadas se reflejan en riesgos, oportunidades, objetivos o decisiones del SG-SST?</t>
  </si>
  <si>
    <t>Trazabilidad entre matriz de contexto, matriz de riesgos/oportunidades, objetivos, planes y revisión por la dirección.</t>
  </si>
  <si>
    <t>LV-003</t>
  </si>
  <si>
    <t>4.2</t>
  </si>
  <si>
    <t>Partes interesadas</t>
  </si>
  <si>
    <t>Se identifican trabajadores y otras partes interesadas pertinentes al SG-SST.</t>
  </si>
  <si>
    <t>¿La organización identifica a trabajadores y otras partes interesadas que pueden afectar o verse afectadas por el SG-SST?</t>
  </si>
  <si>
    <t>Matriz de partes interesadas, mapa de stakeholders, caracterización de trabajadores, contratistas, visitantes, autoridades y comunidad.</t>
  </si>
  <si>
    <t>ISO 45001:2018 4.2</t>
  </si>
  <si>
    <t>LV-004</t>
  </si>
  <si>
    <t>Necesidades y expectativas</t>
  </si>
  <si>
    <t>Se determinan necesidades y expectativas pertinentes, incluidas las que se convierten en requisitos legales u otros requisitos.</t>
  </si>
  <si>
    <t>¿La organización determina qué necesidades y expectativas son requisitos aplicables para el SG-SST?</t>
  </si>
  <si>
    <t>Matriz de partes interesadas con necesidades, expectativas, requisitos legales/otros, responsables y mecanismo de seguimiento.</t>
  </si>
  <si>
    <t>LV-005</t>
  </si>
  <si>
    <t>4.3</t>
  </si>
  <si>
    <t>Alcance del SG-SST</t>
  </si>
  <si>
    <t>El alcance define límites y aplicabilidad del SG-SST considerando contexto, partes interesadas y actividades de trabajo.</t>
  </si>
  <si>
    <t>¿El alcance del SG-SST está definido, justificado y considera cuestiones internas/externas, partes interesadas y actividades relacionadas con el trabajo?</t>
  </si>
  <si>
    <t>Declaración de alcance, mapa de procesos, sedes, actividades, productos/servicios bajo control o influencia.</t>
  </si>
  <si>
    <t>ISO 45001:2018 4.3</t>
  </si>
  <si>
    <t>LV-006</t>
  </si>
  <si>
    <t>Alcance documentado y disponible</t>
  </si>
  <si>
    <t>El alcance incluye actividades, productos y servicios bajo control o influencia que impactan el desempeño de SST y está disponible como información documentada.</t>
  </si>
  <si>
    <t>¿El alcance está documentado, disponible y cubre actividades bajo control o influencia de la organización?</t>
  </si>
  <si>
    <t>Documento de alcance, manual o información documentada; evidencias de comunicación/disponibilidad.</t>
  </si>
  <si>
    <t>LV-007</t>
  </si>
  <si>
    <t>4.4</t>
  </si>
  <si>
    <t>Sistema de gestión de la SST</t>
  </si>
  <si>
    <t>Se establece, implementa, mantiene y mejora el SG-SST, incluidos sus procesos e interacciones.</t>
  </si>
  <si>
    <t>¿La organización evidencia procesos definidos, interacción entre ellos y mejora continua del SG-SST?</t>
  </si>
  <si>
    <t>Mapa de procesos SG-SST, procedimientos, indicadores, responsabilidades, ciclo PHVA, registros de seguimiento y mejora.</t>
  </si>
  <si>
    <t>ISO 45001:2018 4.4</t>
  </si>
  <si>
    <t>LV-008</t>
  </si>
  <si>
    <t>Liderazgo transversal</t>
  </si>
  <si>
    <t>5 Liderazgo y participación</t>
  </si>
  <si>
    <t>5.1</t>
  </si>
  <si>
    <t>Rendición de cuentas de la alta dirección</t>
  </si>
  <si>
    <t>La alta dirección asume responsabilidad y rendición de cuentas por la prevención de lesiones/deterioro de la salud y por lugares de trabajo seguros.</t>
  </si>
  <si>
    <t>¿La alta dirección demuestra responsabilidad activa y rendición de cuentas por los resultados de SST?</t>
  </si>
  <si>
    <t>Actas, objetivos, recursos aprobados, seguimiento de indicadores, participación en comités, decisiones sobre incidentes y controles.</t>
  </si>
  <si>
    <t>Entreviste alta dirección y trabajadores; contraste política, actas, comunicaciones y recursos.</t>
  </si>
  <si>
    <t>Entrevista + Documental</t>
  </si>
  <si>
    <t>Alta dirección; líderes de proceso; COPASST/representantes; trabajadores</t>
  </si>
  <si>
    <t>ISO 45001:2018 5.1</t>
  </si>
  <si>
    <t>LV-009</t>
  </si>
  <si>
    <t>Política y objetivos alineados</t>
  </si>
  <si>
    <t>La alta dirección asegura que política y objetivos de SST sean compatibles con la dirección estratégica.</t>
  </si>
  <si>
    <t>¿La política y los objetivos de SST están alineados con la estrategia y prioridades del negocio?</t>
  </si>
  <si>
    <t>Política, objetivos, plan estratégico, metas de SST, revisión por la dirección.</t>
  </si>
  <si>
    <t>LV-010</t>
  </si>
  <si>
    <t>Integración en procesos de negocio</t>
  </si>
  <si>
    <t>Los requisitos del SG-SST se integran en los procesos de negocio.</t>
  </si>
  <si>
    <t>¿Los procesos operativos, compras, talento humano, mantenimiento y gestión del cambio incorporan requisitos de SST?</t>
  </si>
  <si>
    <t>Procedimientos de procesos, flujogramas, criterios de SST en compras/cambios/proyectos/contratación.</t>
  </si>
  <si>
    <t>LV-011</t>
  </si>
  <si>
    <t>Disponibilidad de recursos</t>
  </si>
  <si>
    <t>La alta dirección asegura recursos para establecer, implementar, mantener y mejorar el SG-SST.</t>
  </si>
  <si>
    <t>¿Se asignan recursos suficientes y oportunos para operar y mejorar el SG-SST?</t>
  </si>
  <si>
    <t>Presupuesto, plan anual, personal asignado, equipos, formación, tecnología, seguimiento de ejecución.</t>
  </si>
  <si>
    <t>LV-012</t>
  </si>
  <si>
    <t>Comunicación y resultados previstos</t>
  </si>
  <si>
    <t>La alta dirección comunica la importancia de la gestión de SST y asegura que el SG-SST logre resultados previstos.</t>
  </si>
  <si>
    <t>¿La dirección comunica expectativas de SST y verifica que el sistema logre sus resultados?</t>
  </si>
  <si>
    <t>Comunicaciones internas, campañas, reuniones, indicadores, informes de desempeño y decisiones tomadas.</t>
  </si>
  <si>
    <t>LV-013</t>
  </si>
  <si>
    <t>Apoyo a personas y liderazgo</t>
  </si>
  <si>
    <t>La dirección apoya a las personas y a otros roles directivos para contribuir a la eficacia del SG-SST.</t>
  </si>
  <si>
    <t>¿Los líderes de proceso conocen su papel y apoyan la implementación de controles y mejoras de SST?</t>
  </si>
  <si>
    <t>Entrevistas, descripciones de cargo, metas de líderes, evidencias de seguimiento y toma de decisiones.</t>
  </si>
  <si>
    <t>LV-014</t>
  </si>
  <si>
    <t>Cultura, mejora y no represalias</t>
  </si>
  <si>
    <t>Se promueve cultura preventiva, mejora continua y protección contra represalias por reportar incidentes, peligros, riesgos u oportunidades.</t>
  </si>
  <si>
    <t>¿Existen mecanismos que promuevan cultura de reporte sin represalias y mejora continua?</t>
  </si>
  <si>
    <t>Canales de reporte, campañas, encuestas de cultura, reportes de casi accidentes, política/no represalias, investigaciones.</t>
  </si>
  <si>
    <t>LV-015</t>
  </si>
  <si>
    <t>Consulta, participación y comités</t>
  </si>
  <si>
    <t>La alta dirección asegura procesos de consulta/participación y apoya comités de seguridad y salud cuando existan.</t>
  </si>
  <si>
    <t>¿La dirección facilita la consulta, participación y funcionamiento de comités de SST?</t>
  </si>
  <si>
    <t>Actas COPASST/comités, participación en decisiones, seguimiento a compromisos, recursos asignados.</t>
  </si>
  <si>
    <t>LV-016</t>
  </si>
  <si>
    <t>5.2</t>
  </si>
  <si>
    <t>Política de SST apropiada</t>
  </si>
  <si>
    <t>La política de SST es apropiada al propósito, tamaño, contexto, riesgos y oportunidades de la organización.</t>
  </si>
  <si>
    <t>¿La política de SST es coherente con el contexto, riesgos y oportunidades de la organización?</t>
  </si>
  <si>
    <t>Política vigente, análisis de contexto, matriz de riesgos, revisión por la dirección.</t>
  </si>
  <si>
    <t>ISO 45001:2018 5.2</t>
  </si>
  <si>
    <t>LV-017</t>
  </si>
  <si>
    <t>Compromisos de la política</t>
  </si>
  <si>
    <t>La política incluye compromisos de condiciones seguras y saludables, cumplimiento, eliminación de peligros, reducción de riesgos, mejora continua y consulta/participación.</t>
  </si>
  <si>
    <t>¿La política contiene compromisos suficientes frente a prevención, cumplimiento legal, control de riesgos, mejora y participación?</t>
  </si>
  <si>
    <t>Texto de la política, versiones aprobadas, comunicación interna y externa.</t>
  </si>
  <si>
    <t>LV-018</t>
  </si>
  <si>
    <t>Marco para objetivos</t>
  </si>
  <si>
    <t>La política proporciona un marco para establecer objetivos de SST.</t>
  </si>
  <si>
    <t>¿Los objetivos de SST se derivan de la política y contribuyen a cumplirla?</t>
  </si>
  <si>
    <t>Matriz de objetivos, indicadores, planes de acción, trazabilidad política-objetivos.</t>
  </si>
  <si>
    <t>LV-019</t>
  </si>
  <si>
    <t>Disponibilidad y comunicación de política</t>
  </si>
  <si>
    <t>La política se mantiene documentada, se comunica, está disponible y permanece pertinente.</t>
  </si>
  <si>
    <t>¿La política está documentada, comunicada a trabajadores y disponible para partes interesadas pertinentes?</t>
  </si>
  <si>
    <t>Publicaciones, inducción, intranet/carteleras, contratos, página web, registros de divulgación.</t>
  </si>
  <si>
    <t>LV-020</t>
  </si>
  <si>
    <t>5.3</t>
  </si>
  <si>
    <t>Roles, responsabilidades y autoridades</t>
  </si>
  <si>
    <t>Se asignan, comunican y documentan responsabilidades y autoridades del SG-SST en todos los niveles pertinentes.</t>
  </si>
  <si>
    <t>¿Los roles, responsabilidades y autoridades de SST están definidos, comunicados y documentados?</t>
  </si>
  <si>
    <t>Organigrama, perfiles de cargo, matriz RACI, nombramientos, procedimientos, actas de comunicación.</t>
  </si>
  <si>
    <t>ISO 45001:2018 5.3</t>
  </si>
  <si>
    <t>LV-021</t>
  </si>
  <si>
    <t>Responsabilidad de los trabajadores</t>
  </si>
  <si>
    <t>Los trabajadores asumen responsabilidad por los aspectos del SG-SST bajo su control.</t>
  </si>
  <si>
    <t>¿Los trabajadores conocen y aplican sus responsabilidades de SST en las actividades que controlan?</t>
  </si>
  <si>
    <t>Entrevistas, inducción, permisos de trabajo, observaciones de tareas, evaluación de desempeño.</t>
  </si>
  <si>
    <t>LV-022</t>
  </si>
  <si>
    <t>Conformidad y reporte a alta dirección</t>
  </si>
  <si>
    <t>Se asigna autoridad para asegurar conformidad del SG-SST y reportar desempeño a la alta dirección.</t>
  </si>
  <si>
    <t>¿Existe responsable/rol con autoridad para reportar desempeño y alertar incumplimientos del SG-SST?</t>
  </si>
  <si>
    <t>Designación formal, informes a dirección, actas, indicadores, escalamiento de incidentes/no conformidades.</t>
  </si>
  <si>
    <t>LV-023</t>
  </si>
  <si>
    <t>5.4</t>
  </si>
  <si>
    <t>Procesos de consulta y participación</t>
  </si>
  <si>
    <t>Se establecen procesos para consulta y participación de trabajadores y representantes en desarrollo, planificación, implementación, evaluación y mejora del SG-SST.</t>
  </si>
  <si>
    <t>¿Los trabajadores participan y son consultados en las decisiones relevantes del SG-SST?</t>
  </si>
  <si>
    <t>Procedimiento de participación, actas de comités, encuestas, buzones, reportes, planes con aportes de trabajadores.</t>
  </si>
  <si>
    <t>ISO 45001:2018 5.4</t>
  </si>
  <si>
    <t>LV-024</t>
  </si>
  <si>
    <t>Recursos para participación</t>
  </si>
  <si>
    <t>Se proporcionan mecanismos, tiempo, formación y recursos para consulta y participación.</t>
  </si>
  <si>
    <t>¿La organización proporciona tiempo, formación, información y recursos para que los trabajadores participen?</t>
  </si>
  <si>
    <t>Asignación de horas, formación COPASST/brigadas, recursos, convocatorias, evidencias de asistencia.</t>
  </si>
  <si>
    <t>LV-025</t>
  </si>
  <si>
    <t>Acceso a información</t>
  </si>
  <si>
    <t>Los trabajadores reciben acceso oportuno a información clara, comprensible y pertinente del SG-SST.</t>
  </si>
  <si>
    <t>¿La información del SG-SST es accesible, clara y comprensible para trabajadores y representantes?</t>
  </si>
  <si>
    <t>Comunicados, tableros, intranet, capacitaciones, formatos en idioma apropiado, registros de entrega.</t>
  </si>
  <si>
    <t>LV-026</t>
  </si>
  <si>
    <t>Barreras a la participación</t>
  </si>
  <si>
    <t>Se determinan y eliminan obstáculos o barreras a la participación; se minimizan los que no puedan eliminarse.</t>
  </si>
  <si>
    <t>¿La organización identifica y controla barreras como idioma, alfabetización, horarios, miedo a represalias o falta de respuesta?</t>
  </si>
  <si>
    <t>Análisis de barreras, encuestas, acciones correctivas, canales confidenciales, evidencias de respuesta a sugerencias.</t>
  </si>
  <si>
    <t>LV-027</t>
  </si>
  <si>
    <t>Consulta de trabajadores no directivos</t>
  </si>
  <si>
    <t>Se enfatiza la consulta de trabajadores no directivos sobre partes interesadas, política, roles, requisitos, objetivos, controles, seguimiento, auditorías y mejora.</t>
  </si>
  <si>
    <t>¿Los trabajadores no directivos son consultados en temas clave de planificación, controles, auditorías y mejora?</t>
  </si>
  <si>
    <t>Actas, entrevistas, talleres de identificación, revisión de objetivos, programa de auditoría con participación.</t>
  </si>
  <si>
    <t>LV-028</t>
  </si>
  <si>
    <t>Participación de trabajadores no directivos</t>
  </si>
  <si>
    <t>Se enfatiza la participación de trabajadores no directivos en mecanismos de participación, identificación de peligros, evaluación de riesgos/oportunidades, controles, incidentes y acciones.</t>
  </si>
  <si>
    <t>¿Los trabajadores no directivos participan en identificación de peligros, evaluación de riesgos, investigación y acciones de mejora?</t>
  </si>
  <si>
    <t>Reportes de peligros, inspecciones participativas, investigaciones, matrices IPVR, seguimiento de acciones.</t>
  </si>
  <si>
    <t>LV-029</t>
  </si>
  <si>
    <t>Planificar</t>
  </si>
  <si>
    <t>6 Planificación</t>
  </si>
  <si>
    <t>6.1.1</t>
  </si>
  <si>
    <t>Riesgos y oportunidades del SG-SST</t>
  </si>
  <si>
    <t>La organización determina riesgos y oportunidades para asegurar resultados previstos, prevenir efectos no deseados y lograr mejora continua.</t>
  </si>
  <si>
    <t>¿La planificación identifica riesgos y oportunidades que pueden afectar el desempeño del SG-SST?</t>
  </si>
  <si>
    <t>Matriz de riesgos y oportunidades del sistema, análisis de contexto, revisión por la dirección, planes de tratamiento.</t>
  </si>
  <si>
    <t>Muestree matrices de peligros/riesgos, requisitos legales, planes y objetivos en 2-3 procesos críticos.</t>
  </si>
  <si>
    <t>Documental + Muestreo</t>
  </si>
  <si>
    <t>Responsable SG-SST; líderes de proceso; jurídico/compliance; COPASST</t>
  </si>
  <si>
    <t>ISO 45001:2018 6.1.1</t>
  </si>
  <si>
    <t>LV-030</t>
  </si>
  <si>
    <t>Insumos de planificación</t>
  </si>
  <si>
    <t>La planificación considera contexto, partes interesadas, alcance, peligros, riesgos de SST, otros riesgos y requisitos aplicables.</t>
  </si>
  <si>
    <t>¿Los riesgos y oportunidades se determinan con base en contexto, partes interesadas, alcance, peligros y requisitos?</t>
  </si>
  <si>
    <t>Trazabilidad entre matrices de contexto, partes interesadas, peligros, requisitos legales y acciones.</t>
  </si>
  <si>
    <t>LV-031</t>
  </si>
  <si>
    <t>Información documentada de planificación</t>
  </si>
  <si>
    <t>Se mantiene información documentada sobre riesgos/oportunidades y sobre procesos y acciones necesarios.</t>
  </si>
  <si>
    <t>¿La organización documenta riesgos, oportunidades y acciones en la medida necesaria para confiar en su ejecución?</t>
  </si>
  <si>
    <t>Matrices, planes, procedimientos, registros de seguimiento, versión vigente.</t>
  </si>
  <si>
    <t>LV-032</t>
  </si>
  <si>
    <t>6.1.2.1</t>
  </si>
  <si>
    <t>Identificación proactiva de peligros</t>
  </si>
  <si>
    <t>Existe un proceso continuo y proactivo para identificar peligros.</t>
  </si>
  <si>
    <t>¿El proceso de identificación de peligros es continuo, sistemático y proactivo?</t>
  </si>
  <si>
    <t>Procedimiento IPVR, metodología, cronograma de inspecciones, reportes de trabajadores, revisión de cambios.</t>
  </si>
  <si>
    <t>ISO 45001:2018 6.1.2.1</t>
  </si>
  <si>
    <t>LV-033</t>
  </si>
  <si>
    <t>Organización del trabajo y factores sociales</t>
  </si>
  <si>
    <t>La identificación considera cómo se organiza el trabajo, factores sociales, liderazgo y cultura.</t>
  </si>
  <si>
    <t>¿La identificación de peligros incluye carga de trabajo, horarios, acoso, factores psicosociales, liderazgo y cultura?</t>
  </si>
  <si>
    <t>Evaluaciones psicosociales, encuestas, reportes, matriz de peligros, entrevistas.</t>
  </si>
  <si>
    <t>LV-034</t>
  </si>
  <si>
    <t>Actividades rutinarias y no rutinarias</t>
  </si>
  <si>
    <t>Se consideran actividades y situaciones rutinarias y no rutinarias.</t>
  </si>
  <si>
    <t>¿La matriz de peligros cubre tareas rutinarias, no rutinarias, mantenimiento, paradas, emergencias y trabajos ocasionales?</t>
  </si>
  <si>
    <t>Inventario de tareas, AST/JSA, permisos de trabajo, procedimientos operativos, matriz IPVR.</t>
  </si>
  <si>
    <t>LV-035</t>
  </si>
  <si>
    <t>Incidentes y emergencias</t>
  </si>
  <si>
    <t>Se consideran incidentes pasados internos/externos y situaciones de emergencia potenciales.</t>
  </si>
  <si>
    <t>¿Los incidentes y emergencias potenciales alimentan la identificación de peligros?</t>
  </si>
  <si>
    <t>Investigaciones, lecciones aprendidas, simulacros, análisis de emergencias, actualizaciones de matriz.</t>
  </si>
  <si>
    <t>LV-036</t>
  </si>
  <si>
    <t>Personas expuestas</t>
  </si>
  <si>
    <t>La identificación considera trabajadores, contratistas, visitantes y otras personas en las inmediaciones del lugar de trabajo.</t>
  </si>
  <si>
    <t>¿Se identifican peligros para todos los grupos expuestos, incluidos contratistas, visitantes y terceros?</t>
  </si>
  <si>
    <t>Matriz IPVR por grupos expuestos, controles de visitantes, inducción a contratistas, señalización.</t>
  </si>
  <si>
    <t>LV-037</t>
  </si>
  <si>
    <t>Instalaciones, equipos y materiales</t>
  </si>
  <si>
    <t>Se consideran áreas de trabajo, procesos, instalaciones, maquinaria, equipos, materiales y condiciones físicas.</t>
  </si>
  <si>
    <t>¿La identificación de peligros cubre instalaciones, equipos, materiales, sustancias, condiciones locativas y ambientales?</t>
  </si>
  <si>
    <t>Inventario de equipos/sustancias, inspecciones, hojas de seguridad, mantenimientos, matriz IPVR.</t>
  </si>
  <si>
    <t>LV-038</t>
  </si>
  <si>
    <t>Diseño y adaptación del trabajo</t>
  </si>
  <si>
    <t>Se consideran diseño de áreas, procesos, instalaciones, procedimientos y organización del trabajo, incluida su adaptación a trabajadores.</t>
  </si>
  <si>
    <t>¿La organización evalúa peligros derivados del diseño del trabajo y de la adaptación de tareas a capacidades de trabajadores?</t>
  </si>
  <si>
    <t>Evaluaciones ergonómicas, procedimientos, diseño de puestos, restricciones médicas, rediseños.</t>
  </si>
  <si>
    <t>LV-039</t>
  </si>
  <si>
    <t>Situaciones en inmediaciones</t>
  </si>
  <si>
    <t>Se consideran situaciones en inmediaciones causadas por actividades controladas y por actividades no controladas que puedan afectar personas.</t>
  </si>
  <si>
    <t>¿Se identifican peligros generados por actividades propias y externas en las inmediaciones del lugar de trabajo?</t>
  </si>
  <si>
    <t>Análisis de entorno, gestión con vecinos/arrendadores, controles de acceso, emergencias externas.</t>
  </si>
  <si>
    <t>LV-040</t>
  </si>
  <si>
    <t>Cambios y nuevo conocimiento</t>
  </si>
  <si>
    <t>Se consideran cambios reales o propuestos y cambios en conocimiento o información sobre peligros.</t>
  </si>
  <si>
    <t>¿La identificación de peligros se actualiza cuando hay cambios o nueva información relevante?</t>
  </si>
  <si>
    <t>Solicitudes de cambio, revisión de nuevas tecnologías, cambios legales/técnicos, registros de actualización.</t>
  </si>
  <si>
    <t>LV-041</t>
  </si>
  <si>
    <t>6.1.2.2</t>
  </si>
  <si>
    <t>Evaluación de riesgos de SST</t>
  </si>
  <si>
    <t>Se evalúan riesgos de SST a partir de peligros identificados, considerando la eficacia de controles existentes.</t>
  </si>
  <si>
    <t>¿La evaluación de riesgos considera controles existentes y determina niveles de riesgo de forma coherente?</t>
  </si>
  <si>
    <t>Matriz IPVR, criterios de probabilidad/severidad, valoración residual, verificación de controles.</t>
  </si>
  <si>
    <t>ISO 45001:2018 6.1.2.2</t>
  </si>
  <si>
    <t>LV-042</t>
  </si>
  <si>
    <t>Otros riesgos del SG-SST</t>
  </si>
  <si>
    <t>Se determinan y evalúan otros riesgos asociados al establecimiento, implementación, operación y mantenimiento del SG-SST.</t>
  </si>
  <si>
    <t>¿La organización evalúa riesgos del sistema como falta de recursos, baja competencia, datos incompletos o fallas de control?</t>
  </si>
  <si>
    <t>Matriz de riesgos del SG-SST, análisis de procesos, acciones de tratamiento.</t>
  </si>
  <si>
    <t>LV-043</t>
  </si>
  <si>
    <t>Metodología y criterios de riesgos</t>
  </si>
  <si>
    <t>Las metodologías y criterios de evaluación se definen, son proactivos, sistemáticos y están documentados.</t>
  </si>
  <si>
    <t>¿La metodología de evaluación de riesgos está definida, documentada y se aplica consistentemente?</t>
  </si>
  <si>
    <t>Procedimiento IPVR, criterios de evaluación, calibración de usuarios, registros de revisión.</t>
  </si>
  <si>
    <t>LV-044</t>
  </si>
  <si>
    <t>6.1.2.3</t>
  </si>
  <si>
    <t>Oportunidades para SST</t>
  </si>
  <si>
    <t>Se evalúan oportunidades para mejorar el desempeño de SST, considerando cambios planificados y adaptación del trabajo.</t>
  </si>
  <si>
    <t>¿La organización identifica oportunidades para mejorar condiciones de trabajo, adaptar tareas y fortalecer desempeño de SST?</t>
  </si>
  <si>
    <t>Matriz de oportunidades, planes de mejora, proyectos, observaciones de trabajadores.</t>
  </si>
  <si>
    <t>ISO 45001:2018 6.1.2.3</t>
  </si>
  <si>
    <t>LV-045</t>
  </si>
  <si>
    <t>Eliminar peligros y reducir riesgos</t>
  </si>
  <si>
    <t>Se evalúan oportunidades para eliminar peligros y reducir riesgos de SST.</t>
  </si>
  <si>
    <t>¿Las oportunidades priorizan eliminación de peligros y reducción de riesgos antes que controles administrativos o EPP?</t>
  </si>
  <si>
    <t>Planes de sustitución, rediseño, ingeniería, automatización, presupuestos y análisis costo-beneficio.</t>
  </si>
  <si>
    <t>LV-046</t>
  </si>
  <si>
    <t>Otras oportunidades del sistema</t>
  </si>
  <si>
    <t>Se evalúan otras oportunidades para mejorar el SG-SST.</t>
  </si>
  <si>
    <t>¿Se identifican oportunidades para mejorar procesos, datos, competencias, comunicaciones o integración del SG-SST?</t>
  </si>
  <si>
    <t>Actas de mejora, auditorías, revisión por la dirección, lecciones aprendidas.</t>
  </si>
  <si>
    <t>LV-047</t>
  </si>
  <si>
    <t>6.1.3</t>
  </si>
  <si>
    <t>Acceso a requisitos legales y otros</t>
  </si>
  <si>
    <t>Se determinan y acceden requisitos legales y otros requisitos actualizados aplicables a peligros, riesgos y SG-SST.</t>
  </si>
  <si>
    <t>¿La organización identifica y mantiene acceso a requisitos legales y otros requisitos aplicables y actualizados?</t>
  </si>
  <si>
    <t>Matriz legal, suscripciones normativas, requisitos contractuales, acuerdos colectivos, permisos/licencias.</t>
  </si>
  <si>
    <t>ISO 45001:2018 6.1.3</t>
  </si>
  <si>
    <t>LV-048</t>
  </si>
  <si>
    <t>Aplicabilidad y comunicación de requisitos</t>
  </si>
  <si>
    <t>Se determina cómo aplican los requisitos y qué debe comunicarse.</t>
  </si>
  <si>
    <t>¿La matriz legal define aplicabilidad, obligaciones, responsables, evidencias y necesidades de comunicación?</t>
  </si>
  <si>
    <t>Matriz legal con análisis de aplicabilidad, comunicaciones a responsables, capacitaciones.</t>
  </si>
  <si>
    <t>LV-049</t>
  </si>
  <si>
    <t>Integración de requisitos al SG-SST</t>
  </si>
  <si>
    <t>Los requisitos legales y otros se consideran al establecer, implementar, mantener y mejorar el SG-SST.</t>
  </si>
  <si>
    <t>¿Los requisitos aplicables están integrados en procedimientos, controles, objetivos y evaluación del cumplimiento?</t>
  </si>
  <si>
    <t>Procedimientos actualizados, controles operativos, indicadores legales, auditorías de cumplimiento.</t>
  </si>
  <si>
    <t>LV-050</t>
  </si>
  <si>
    <t>Información documentada de requisitos</t>
  </si>
  <si>
    <t>Se mantiene y conserva información documentada de requisitos legales y otros, actualizada frente a cambios.</t>
  </si>
  <si>
    <t>¿La organización conserva evidencia de identificación, actualización y seguimiento de requisitos legales/otros?</t>
  </si>
  <si>
    <t>Versiones de matriz legal, registros de actualización, evidencias de evaluación y acciones.</t>
  </si>
  <si>
    <t>LV-051</t>
  </si>
  <si>
    <t>6.1.4</t>
  </si>
  <si>
    <t>Planificación de acciones</t>
  </si>
  <si>
    <t>Se planifican acciones para riesgos/oportunidades, requisitos legales/otros y preparación/respuesta ante emergencias.</t>
  </si>
  <si>
    <t>¿Existen planes de acción para abordar riesgos, oportunidades, requisitos aplicables y emergencias?</t>
  </si>
  <si>
    <t>Planes de tratamiento, plan anual SST, plan de emergencias, responsables, plazos y recursos.</t>
  </si>
  <si>
    <t>ISO 45001:2018 6.1.4</t>
  </si>
  <si>
    <t>LV-052</t>
  </si>
  <si>
    <t>Integración y eficacia de acciones</t>
  </si>
  <si>
    <t>Se define cómo integrar acciones en procesos del SG-SST o de negocio y cómo evaluar su eficacia.</t>
  </si>
  <si>
    <t>¿Las acciones planificadas están integradas en procesos y cuentan con criterios para evaluar eficacia?</t>
  </si>
  <si>
    <t>Procedimientos, indicadores, seguimiento de acciones, verificación de controles implementados.</t>
  </si>
  <si>
    <t>LV-053</t>
  </si>
  <si>
    <t>Jerarquía de controles y restricciones</t>
  </si>
  <si>
    <t>La planificación considera jerarquía de controles, salidas del SG-SST, mejores prácticas, tecnología y restricciones financieras/operacionales.</t>
  </si>
  <si>
    <t>¿La selección de acciones evidencia priorización de controles eficaces y análisis de viabilidad técnica/operativa?</t>
  </si>
  <si>
    <t>Matriz de controles, análisis de alternativas, presupuestos, planes de sustitución/ingeniería.</t>
  </si>
  <si>
    <t>LV-054</t>
  </si>
  <si>
    <t>6.2.1</t>
  </si>
  <si>
    <t>Objetivos de SST</t>
  </si>
  <si>
    <t>Se establecen objetivos de SST para funciones y niveles pertinentes, orientados a mantener y mejorar el SG-SST y desempeño de SST.</t>
  </si>
  <si>
    <t>¿Existen objetivos de SST definidos para funciones y niveles pertinentes?</t>
  </si>
  <si>
    <t>Matriz de objetivos, indicadores por proceso, metas anuales, responsables.</t>
  </si>
  <si>
    <t>ISO 45001:2018 6.2.1</t>
  </si>
  <si>
    <t>LV-055</t>
  </si>
  <si>
    <t>Coherencia y medición</t>
  </si>
  <si>
    <t>Los objetivos son coherentes con la política y son medibles o evaluables.</t>
  </si>
  <si>
    <t>¿Los objetivos se alinean con la política y tienen indicadores o criterios de evaluación?</t>
  </si>
  <si>
    <t>Política, objetivos SMART, indicadores, fichas técnicas, línea base.</t>
  </si>
  <si>
    <t>LV-056</t>
  </si>
  <si>
    <t>Insumos de objetivos</t>
  </si>
  <si>
    <t>Los objetivos consideran requisitos aplicables, evaluación de riesgos/oportunidades y consulta con trabajadores.</t>
  </si>
  <si>
    <t>¿Los objetivos se definieron considerando requisitos, riesgos, oportunidades y aportes de trabajadores?</t>
  </si>
  <si>
    <t>Actas de consulta, matriz legal, riesgos priorizados, revisión por la dirección.</t>
  </si>
  <si>
    <t>LV-057</t>
  </si>
  <si>
    <t>Seguimiento, comunicación y actualización</t>
  </si>
  <si>
    <t>Los objetivos son objeto de seguimiento, se comunican y se actualizan cuando corresponde.</t>
  </si>
  <si>
    <t>¿Se hace seguimiento periódico a los objetivos, se comunican resultados y se actualizan si cambian las condiciones?</t>
  </si>
  <si>
    <t>Tableros de indicadores, informes, comunicaciones, revisión de metas.</t>
  </si>
  <si>
    <t>LV-058</t>
  </si>
  <si>
    <t>6.2.2</t>
  </si>
  <si>
    <t>Planes para objetivos</t>
  </si>
  <si>
    <t>Los planes para lograr objetivos determinan actividades, recursos, responsables y fechas.</t>
  </si>
  <si>
    <t>¿Cada objetivo cuenta con un plan que indique qué se hará, recursos, responsables y plazos?</t>
  </si>
  <si>
    <t>Plan de acción, cronograma, presupuesto, responsables, seguimiento.</t>
  </si>
  <si>
    <t>ISO 45001:2018 6.2.2</t>
  </si>
  <si>
    <t>LV-059</t>
  </si>
  <si>
    <t>Evaluación e integración de objetivos</t>
  </si>
  <si>
    <t>Los planes definen cómo evaluar resultados, incluidos indicadores, y cómo integrar acciones en procesos de negocio.</t>
  </si>
  <si>
    <t>¿Los planes de objetivos incluyen indicadores de resultado y están integrados a procesos operativos o de negocio?</t>
  </si>
  <si>
    <t>Fichas de indicadores, informes de avance, procesos actualizados, actas de seguimiento.</t>
  </si>
  <si>
    <t>LV-060</t>
  </si>
  <si>
    <t>Información documentada de objetivos</t>
  </si>
  <si>
    <t>Se mantiene y conserva información documentada sobre objetivos y planes para lograrlos.</t>
  </si>
  <si>
    <t>¿La organización conserva la información documentada de objetivos, planes, avances y cierres?</t>
  </si>
  <si>
    <t>Matriz de objetivos, registros de seguimiento, evidencias de cierre, reportes a dirección.</t>
  </si>
  <si>
    <t>LV-061</t>
  </si>
  <si>
    <t>Hacer</t>
  </si>
  <si>
    <t>7 Apoyo</t>
  </si>
  <si>
    <t>7.1</t>
  </si>
  <si>
    <t>Recursos</t>
  </si>
  <si>
    <t>Se determinan y proporcionan recursos necesarios para establecer, implementar, mantener y mejorar el SG-SST.</t>
  </si>
  <si>
    <t>¿La organización determina y provee recursos humanos, técnicos, tecnológicos y financieros necesarios para el SG-SST?</t>
  </si>
  <si>
    <t>Presupuesto, plan anual, asignación de personal, equipos, contratos, seguimiento de ejecución.</t>
  </si>
  <si>
    <t>Muestree expedientes de competencia, comunicaciones y control documental en 2-3 procesos.</t>
  </si>
  <si>
    <t>Responsable SG-SST; talento humano; comunicaciones; gestión documental</t>
  </si>
  <si>
    <t>ISO 45001:2018 7.1</t>
  </si>
  <si>
    <t>LV-062</t>
  </si>
  <si>
    <t>7.2</t>
  </si>
  <si>
    <t>Competencia necesaria</t>
  </si>
  <si>
    <t>Se determina la competencia necesaria de trabajadores que afectan o pueden afectar el desempeño de SST.</t>
  </si>
  <si>
    <t>¿La organización identifica competencias de SST requeridas por cargo/rol/tarea crítica?</t>
  </si>
  <si>
    <t>Matriz de competencias, perfiles de cargo, análisis de tareas críticas.</t>
  </si>
  <si>
    <t>ISO 45001:2018 7.2</t>
  </si>
  <si>
    <t>LV-063</t>
  </si>
  <si>
    <t>Competencia demostrada</t>
  </si>
  <si>
    <t>Se asegura competencia con base en educación, formación o experiencia, incluida capacidad para identificar peligros.</t>
  </si>
  <si>
    <t>¿Los trabajadores son competentes para realizar sus tareas y reconocer peligros asociados?</t>
  </si>
  <si>
    <t>Hojas de vida, certificados, inducción/reinducción, evaluaciones, observación de tareas.</t>
  </si>
  <si>
    <t>LV-064</t>
  </si>
  <si>
    <t>Acciones de competencia y eficacia</t>
  </si>
  <si>
    <t>Se toman acciones para adquirir/mantener competencia y se evalúa eficacia cuando aplica.</t>
  </si>
  <si>
    <t>¿Las brechas de competencia generan acciones y se evalúa si fueron eficaces?</t>
  </si>
  <si>
    <t>Plan de formación, evaluaciones post formación, supervisión, habilitaciones, matriz de brechas.</t>
  </si>
  <si>
    <t>LV-065</t>
  </si>
  <si>
    <t>Evidencia documentada de competencia</t>
  </si>
  <si>
    <t>Se conserva información documentada apropiada como evidencia de competencia.</t>
  </si>
  <si>
    <t>¿Los registros de competencia están completos, vigentes y disponibles?</t>
  </si>
  <si>
    <t>Registros de capacitación, licencias, certificaciones, evaluaciones, autorizaciones.</t>
  </si>
  <si>
    <t>LV-066</t>
  </si>
  <si>
    <t>7.3</t>
  </si>
  <si>
    <t>Conciencia de política y objetivos</t>
  </si>
  <si>
    <t>Los trabajadores toman conciencia de política, objetivos y su contribución al SG-SST.</t>
  </si>
  <si>
    <t>¿Los trabajadores conocen la política, objetivos y cómo contribuyen al desempeño de SST?</t>
  </si>
  <si>
    <t>Entrevistas, inducciones, campañas, registros de asistencia, evaluaciones de comprensión.</t>
  </si>
  <si>
    <t>ISO 45001:2018 7.3</t>
  </si>
  <si>
    <t>LV-067</t>
  </si>
  <si>
    <t>Beneficios y consecuencias</t>
  </si>
  <si>
    <t>Los trabajadores conocen beneficios de mejorar desempeño y consecuencias de no cumplir requisitos del SG-SST.</t>
  </si>
  <si>
    <t>¿Los trabajadores comprenden consecuencias de no seguir controles y beneficios de reportar/mejorar?</t>
  </si>
  <si>
    <t>Entrevistas, campañas, sanciones/procedimientos, charlas de seguridad.</t>
  </si>
  <si>
    <t>LV-068</t>
  </si>
  <si>
    <t>Incidentes e investigaciones</t>
  </si>
  <si>
    <t>Los trabajadores conocen incidentes y resultados de investigaciones pertinentes para ellos.</t>
  </si>
  <si>
    <t>¿Se comunican lecciones aprendidas de incidentes a los trabajadores pertinentes?</t>
  </si>
  <si>
    <t>Lecciones aprendidas, charlas, actas, controles implementados tras incidentes.</t>
  </si>
  <si>
    <t>LV-069</t>
  </si>
  <si>
    <t>Peligros, riesgos y acciones pertinentes</t>
  </si>
  <si>
    <t>Los trabajadores conocen peligros, riesgos de SST y acciones determinadas que les son pertinentes.</t>
  </si>
  <si>
    <t>¿Los trabajadores identifican peligros de su labor y aplican controles definidos?</t>
  </si>
  <si>
    <t>Entrevistas, AST, permisos, matriz de peligros divulgada, observaciones en campo.</t>
  </si>
  <si>
    <t>LV-070</t>
  </si>
  <si>
    <t>Derecho a retirarse de peligro grave</t>
  </si>
  <si>
    <t>Los trabajadores conocen la capacidad de alejarse de situaciones con peligro inminente y serio, y la protección frente a consecuencias indebidas.</t>
  </si>
  <si>
    <t>¿Los trabajadores saben detener o retirarse de trabajos peligrosos sin represalias?</t>
  </si>
  <si>
    <t>Procedimiento de parar trabajo, comunicaciones, entrevistas, reportes de uso del mecanismo.</t>
  </si>
  <si>
    <t>LV-071</t>
  </si>
  <si>
    <t>7.4.1</t>
  </si>
  <si>
    <t>Proceso de comunicación</t>
  </si>
  <si>
    <t>Se establecen procesos de comunicación interna y externa que determinan qué, cuándo, a quién y cómo comunicar.</t>
  </si>
  <si>
    <t>¿Existe un proceso que defina qué comunicar, cuándo, a quién y por qué medios?</t>
  </si>
  <si>
    <t>Matriz de comunicaciones, procedimiento, calendario de campañas, responsables.</t>
  </si>
  <si>
    <t>ISO 45001:2018 7.4.1</t>
  </si>
  <si>
    <t>LV-072</t>
  </si>
  <si>
    <t>Diversidad y partes interesadas</t>
  </si>
  <si>
    <t>La comunicación considera diversidad y puntos de vista de partes interesadas externas.</t>
  </si>
  <si>
    <t>¿Las comunicaciones consideran idioma, cultura, alfabetización, discapacidad y expectativas externas pertinentes?</t>
  </si>
  <si>
    <t>Comunicaciones adaptadas, formatos accesibles, evidencia de consulta externa, traducciones.</t>
  </si>
  <si>
    <t>LV-073</t>
  </si>
  <si>
    <t>Requisitos legales y fiabilidad</t>
  </si>
  <si>
    <t>La comunicación considera requisitos legales/otros y asegura coherencia y fiabilidad de la información de SST.</t>
  </si>
  <si>
    <t>¿La información comunicada de SST es coherente, verificable y conforme a requisitos legales/otros?</t>
  </si>
  <si>
    <t>Matriz legal, aprobación de comunicaciones, fuentes de datos, control de versiones.</t>
  </si>
  <si>
    <t>LV-074</t>
  </si>
  <si>
    <t>Respuesta y evidencia de comunicaciones</t>
  </si>
  <si>
    <t>Se responde a comunicaciones pertinentes sobre el SG-SST y se conserva evidencia cuando corresponde.</t>
  </si>
  <si>
    <t>¿La organización responde y conserva evidencia de comunicaciones relevantes de SST?</t>
  </si>
  <si>
    <t>Correos, PQRS, reportes de partes interesadas, actas, respuestas documentadas.</t>
  </si>
  <si>
    <t>LV-075</t>
  </si>
  <si>
    <t>7.4.2</t>
  </si>
  <si>
    <t>Comunicación interna</t>
  </si>
  <si>
    <t>Se comunica internamente información pertinente entre niveles y funciones, incluidos cambios del SG-SST.</t>
  </si>
  <si>
    <t>¿Los cambios e información relevante de SST se comunican internamente a niveles y funciones pertinentes?</t>
  </si>
  <si>
    <t>Comunicados, reuniones, capacitaciones, actas de cambio, listas de distribución.</t>
  </si>
  <si>
    <t>ISO 45001:2018 7.4.2</t>
  </si>
  <si>
    <t>LV-076</t>
  </si>
  <si>
    <t>Comunicación para mejora continua</t>
  </si>
  <si>
    <t>Los procesos de comunicación permiten que los trabajadores contribuyan a la mejora continua.</t>
  </si>
  <si>
    <t>¿Los canales de comunicación permiten aportes de trabajadores y evidencian respuesta o seguimiento?</t>
  </si>
  <si>
    <t>Buzones, reportes de condiciones inseguras, reuniones, acciones derivadas de sugerencias.</t>
  </si>
  <si>
    <t>LV-077</t>
  </si>
  <si>
    <t>7.4.3</t>
  </si>
  <si>
    <t>Comunicación externa</t>
  </si>
  <si>
    <t>Se comunica externamente información pertinente del SG-SST según procesos y requisitos legales/otros.</t>
  </si>
  <si>
    <t>¿La organización comunica externamente información de SST exigida o pertinente a autoridades, contratistas, comunidad u otros?</t>
  </si>
  <si>
    <t>Reportes legales, comunicaciones a contratistas, avisos a comunidad, informes a clientes/aseguradoras.</t>
  </si>
  <si>
    <t>ISO 45001:2018 7.4.3</t>
  </si>
  <si>
    <t>LV-078</t>
  </si>
  <si>
    <t>7.5.1</t>
  </si>
  <si>
    <t>Información documentada requerida</t>
  </si>
  <si>
    <t>El SG-SST incluye información documentada requerida por la norma.</t>
  </si>
  <si>
    <t>¿La organización mantiene la información documentada requerida por ISO 45001:2018?</t>
  </si>
  <si>
    <t>Listado maestro, procedimientos, registros requeridos, matriz de información documentada.</t>
  </si>
  <si>
    <t>ISO 45001:2018 7.5.1</t>
  </si>
  <si>
    <t>LV-079</t>
  </si>
  <si>
    <t>Información necesaria para eficacia</t>
  </si>
  <si>
    <t>El SG-SST incluye información documentada determinada por la organización como necesaria para su eficacia.</t>
  </si>
  <si>
    <t>¿La organización define qué documentos y registros adicionales necesita para operar eficazmente el SG-SST?</t>
  </si>
  <si>
    <t>Listado maestro, análisis de procesos, criterios de documentación, registros operativos.</t>
  </si>
  <si>
    <t>LV-080</t>
  </si>
  <si>
    <t>7.5.2</t>
  </si>
  <si>
    <t>Creación y actualización</t>
  </si>
  <si>
    <t>La creación y actualización de documentos considera identificación, descripción, formato, medio, revisión y aprobación.</t>
  </si>
  <si>
    <t>¿Los documentos del SG-SST tienen identificación, versión, responsable, formato y aprobación adecuados?</t>
  </si>
  <si>
    <t>Procedimiento documental, documentos vigentes, control de versiones, aprobaciones.</t>
  </si>
  <si>
    <t>ISO 45001:2018 7.5.2</t>
  </si>
  <si>
    <t>LV-081</t>
  </si>
  <si>
    <t>7.5.3</t>
  </si>
  <si>
    <t>Disponibilidad y protección</t>
  </si>
  <si>
    <t>La información documentada se controla para estar disponible, ser idónea y estar protegida.</t>
  </si>
  <si>
    <t>¿La información documentada está disponible donde se necesita y protegida contra pérdida, uso indebido o pérdida de integridad?</t>
  </si>
  <si>
    <t>Repositorio, permisos de acceso, respaldos, control de copias, evidencias de disponibilidad en campo.</t>
  </si>
  <si>
    <t>ISO 45001:2018 7.5.3</t>
  </si>
  <si>
    <t>LV-082</t>
  </si>
  <si>
    <t>Control del ciclo de vida documental</t>
  </si>
  <si>
    <t>Se controla distribución, acceso, recuperación, uso, almacenamiento, preservación, cambios, conservación y disposición.</t>
  </si>
  <si>
    <t>¿El ciclo de vida de documentos y registros de SST está controlado?</t>
  </si>
  <si>
    <t>Listado maestro, matriz de retención, trazabilidad de cambios, disposición de obsoletos.</t>
  </si>
  <si>
    <t>LV-083</t>
  </si>
  <si>
    <t>Documentos externos</t>
  </si>
  <si>
    <t>La información documentada de origen externo necesaria para planificación y operación se identifica y controla.</t>
  </si>
  <si>
    <t>¿Los documentos externos relevantes para SST se identifican, actualizan y controlan?</t>
  </si>
  <si>
    <t>Normas, requisitos legales, fichas de seguridad, manuales de equipos, contratos, controles de acceso.</t>
  </si>
  <si>
    <t>LV-084</t>
  </si>
  <si>
    <t>8 Operación</t>
  </si>
  <si>
    <t>8.1.1</t>
  </si>
  <si>
    <t>Planificación y control operacional</t>
  </si>
  <si>
    <t>Se planifican, implementan, controlan y mantienen procesos necesarios para cumplir requisitos del SG-SST y acciones de planificación.</t>
  </si>
  <si>
    <t>¿Los procesos operacionales críticos están planificados y controlados conforme a los requisitos del SG-SST?</t>
  </si>
  <si>
    <t>Procedimientos operativos, controles, permisos, instructivos, inspecciones, registros de ejecución.</t>
  </si>
  <si>
    <t>Observe una operación crítica; muestree controles operacionales, cambios, compras, contratistas y emergencias.</t>
  </si>
  <si>
    <t>Observación + Documental + Muestreo</t>
  </si>
  <si>
    <t>Operaciones; mantenimiento; compras; contratistas; brigada/emergencias</t>
  </si>
  <si>
    <t>ISO 45001:2018 8.1.1</t>
  </si>
  <si>
    <t>LV-085</t>
  </si>
  <si>
    <t>Criterios y control de procesos</t>
  </si>
  <si>
    <t>Se establecen criterios para procesos y se implementan controles de acuerdo con esos criterios.</t>
  </si>
  <si>
    <t>¿Existen criterios operacionales de SST y evidencia de que se aplican en las actividades?</t>
  </si>
  <si>
    <t>Criterios de operación, estándares, permisos de trabajo, checklists, supervisión.</t>
  </si>
  <si>
    <t>LV-086</t>
  </si>
  <si>
    <t>Documentación operacional</t>
  </si>
  <si>
    <t>Se mantiene y conserva información documentada necesaria para confiar en que procesos se ejecutaron según lo planificado.</t>
  </si>
  <si>
    <t>¿Los registros operacionales permiten demostrar que los controles se ejecutan según lo planificado?</t>
  </si>
  <si>
    <t>Registros de inspección, permisos, mantenimiento, mediciones, bitácoras, listas de chequeo.</t>
  </si>
  <si>
    <t>LV-087</t>
  </si>
  <si>
    <t>Adaptación del trabajo y coordinación</t>
  </si>
  <si>
    <t>El trabajo se adapta a los trabajadores y, en lugares con múltiples empleadores, se coordinan partes pertinentes del SG-SST.</t>
  </si>
  <si>
    <t>¿La operación adapta el trabajo a capacidades de trabajadores y coordina SST con otros empleadores cuando aplica?</t>
  </si>
  <si>
    <t>Evaluaciones ergonómicas, restricciones médicas, reuniones de coordinación, planes de interferencias.</t>
  </si>
  <si>
    <t>LV-088</t>
  </si>
  <si>
    <t>8.1.2</t>
  </si>
  <si>
    <t>Procesos para eliminar peligros</t>
  </si>
  <si>
    <t>Se establecen procesos para eliminar peligros y reducir riesgos de SST.</t>
  </si>
  <si>
    <t>¿La organización aplica procesos para eliminar peligros y reducir riesgos en operaciones críticas?</t>
  </si>
  <si>
    <t>Matriz de controles, planes de intervención, evidencia de eliminación/sustitución/ingeniería.</t>
  </si>
  <si>
    <t>ISO 45001:2018 8.1.2</t>
  </si>
  <si>
    <t>LV-089</t>
  </si>
  <si>
    <t>Jerarquía de controles</t>
  </si>
  <si>
    <t>Se utiliza la jerarquía: eliminación, sustitución, controles de ingeniería/reorganización, controles administrativos/formación y EPP.</t>
  </si>
  <si>
    <t>¿La selección de controles sigue la jerarquía y no depende indebidamente de EPP?</t>
  </si>
  <si>
    <t>Análisis de controles, cambios implementados, ingeniería, sustituciones, formación, entrega de EPP.</t>
  </si>
  <si>
    <t>LV-090</t>
  </si>
  <si>
    <t>Eficacia de controles</t>
  </si>
  <si>
    <t>La eficacia de los controles se verifica y actualiza en función del riesgo residual.</t>
  </si>
  <si>
    <t>¿La organización verifica que los controles operacionales reducen efectivamente el riesgo residual?</t>
  </si>
  <si>
    <t>Inspecciones, mediciones, observaciones planeadas, indicadores, resultados de auditoría.</t>
  </si>
  <si>
    <t>LV-091</t>
  </si>
  <si>
    <t>8.1.3</t>
  </si>
  <si>
    <t>Gestión del cambio</t>
  </si>
  <si>
    <t>Se establecen procesos para implementar y controlar cambios temporales y permanentes que impacten desempeño de SST.</t>
  </si>
  <si>
    <t>¿Existe un proceso formal de gestión del cambio para cambios que puedan afectar SST?</t>
  </si>
  <si>
    <t>Procedimiento de MOC, solicitudes de cambio, evaluaciones de SST, aprobaciones.</t>
  </si>
  <si>
    <t>ISO 45001:2018 8.1.3</t>
  </si>
  <si>
    <t>LV-092</t>
  </si>
  <si>
    <t>Cambios en productos, servicios y procesos</t>
  </si>
  <si>
    <t>La gestión del cambio cubre nuevos o modificados productos, servicios, procesos, lugares, organización del trabajo, condiciones, equipos y fuerza laboral.</t>
  </si>
  <si>
    <t>¿Los cambios operativos, tecnológicos, locativos o de personal son evaluados antes de implementarse?</t>
  </si>
  <si>
    <t>MOC, análisis preoperacional, inducciones, modificaciones de procedimientos, registros de aprobación.</t>
  </si>
  <si>
    <t>LV-093</t>
  </si>
  <si>
    <t>Cambios legales, conocimiento y tecnología</t>
  </si>
  <si>
    <t>La gestión del cambio considera cambios legales, nueva información sobre peligros/riesgos y desarrollos tecnológicos.</t>
  </si>
  <si>
    <t>¿Los cambios legales, técnicos o de conocimiento actualizan controles, competencias y documentos?</t>
  </si>
  <si>
    <t>Actualizaciones legales, revisión técnica, planes de implementación, capacitación.</t>
  </si>
  <si>
    <t>LV-094</t>
  </si>
  <si>
    <t>Cambios no previstos</t>
  </si>
  <si>
    <t>Se revisan consecuencias de cambios no previstos y se mitigan efectos adversos cuando sea necesario.</t>
  </si>
  <si>
    <t>¿La organización evalúa y corrige impactos de cambios no previstos o desviaciones operativas?</t>
  </si>
  <si>
    <t>Reportes de desviación, análisis de incidentes, acciones de mitigación, actualizaciones al SG-SST.</t>
  </si>
  <si>
    <t>LV-095</t>
  </si>
  <si>
    <t>8.1.4.1</t>
  </si>
  <si>
    <t>Compras</t>
  </si>
  <si>
    <t>Se controlan compras de productos y servicios para asegurar conformidad con el SG-SST.</t>
  </si>
  <si>
    <t>¿El proceso de compras incluye criterios de SST para productos y servicios relevantes?</t>
  </si>
  <si>
    <t>Procedimiento de compras, especificaciones SST, evaluación de proveedores, contratos.</t>
  </si>
  <si>
    <t>ISO 45001:2018 8.1.4.1</t>
  </si>
  <si>
    <t>LV-096</t>
  </si>
  <si>
    <t>8.1.4.2</t>
  </si>
  <si>
    <t>Contratistas e interacción de riesgos</t>
  </si>
  <si>
    <t>Se coordinan procesos de compras con contratistas para identificar peligros y evaluar/controlar riesgos derivados de interacciones.</t>
  </si>
  <si>
    <t>¿La organización identifica y controla riesgos generados por contratistas y por la interacción con sus operaciones?</t>
  </si>
  <si>
    <t>Matriz de contratistas, permisos, inducción, coordinación de actividades, inspecciones.</t>
  </si>
  <si>
    <t>ISO 45001:2018 8.1.4.2</t>
  </si>
  <si>
    <t>LV-097</t>
  </si>
  <si>
    <t>Requisitos y selección de contratistas</t>
  </si>
  <si>
    <t>Se asegura que contratistas y sus trabajadores cumplan requisitos del SG-SST y se aplican criterios de SST para selección.</t>
  </si>
  <si>
    <t>¿Los contratistas cumplen requisitos de SST y se evalúan con criterios preventivos antes y durante el contrato?</t>
  </si>
  <si>
    <t>Requisitos contractuales, evaluación de desempeño, certificados, auditorías a contratistas.</t>
  </si>
  <si>
    <t>LV-098</t>
  </si>
  <si>
    <t>8.1.4.3</t>
  </si>
  <si>
    <t>Contratación externa</t>
  </si>
  <si>
    <t>Funciones y procesos contratados externamente se controlan; los acuerdos son coherentes con requisitos legales/otros y resultados previstos del SG-SST.</t>
  </si>
  <si>
    <t>¿Los procesos tercerizados con impacto en SST están controlados y sus acuerdos incorporan requisitos aplicables?</t>
  </si>
  <si>
    <t>Contratos, SLA, matriz de control de outsourcing, seguimiento a proveedores.</t>
  </si>
  <si>
    <t>ISO 45001:2018 8.1.4.3</t>
  </si>
  <si>
    <t>LV-099</t>
  </si>
  <si>
    <t>Tipo y grado de control externo</t>
  </si>
  <si>
    <t>El tipo y grado de control para funciones/procesos externos se define dentro del SG-SST.</t>
  </si>
  <si>
    <t>¿La organización define el nivel de control necesario sobre procesos externos según riesgo e impacto en SST?</t>
  </si>
  <si>
    <t>Criterios de control, evaluación de riesgos de proveedores, auditorías, indicadores.</t>
  </si>
  <si>
    <t>LV-100</t>
  </si>
  <si>
    <t>8.2</t>
  </si>
  <si>
    <t>Preparación y respuesta ante emergencias</t>
  </si>
  <si>
    <t>Se establecen procesos para prepararse y responder a situaciones de emergencia potenciales identificadas.</t>
  </si>
  <si>
    <t>¿El plan de emergencias se basa en escenarios potenciales identificados en la evaluación de peligros/riesgos?</t>
  </si>
  <si>
    <t>Análisis de vulnerabilidad, plan de emergencias, matriz de escenarios, recursos de respuesta.</t>
  </si>
  <si>
    <t>ISO 45001:2018 8.2</t>
  </si>
  <si>
    <t>LV-101</t>
  </si>
  <si>
    <t>Respuesta planificada y primeros auxilios</t>
  </si>
  <si>
    <t>Se define respuesta planificada a emergencias, incluyendo primeros auxilios.</t>
  </si>
  <si>
    <t>¿Las respuestas planificadas incluyen roles, rutas, equipos, primeros auxilios y criterios de activación?</t>
  </si>
  <si>
    <t>Plan de emergencias, brigada, botiquines, equipos, rutas, procedimientos.</t>
  </si>
  <si>
    <t>LV-102</t>
  </si>
  <si>
    <t>Formación para emergencias</t>
  </si>
  <si>
    <t>Se proporciona formación para la respuesta planificada.</t>
  </si>
  <si>
    <t>¿Las personas con responsabilidades de emergencia reciben formación suficiente y vigente?</t>
  </si>
  <si>
    <t>Plan de formación, certificados de brigada, evaluaciones, listas de asistencia.</t>
  </si>
  <si>
    <t>LV-103</t>
  </si>
  <si>
    <t>Pruebas y ejercicios</t>
  </si>
  <si>
    <t>Se realizan pruebas periódicas y ejercicios de la capacidad de respuesta planificada.</t>
  </si>
  <si>
    <t>¿Se ejecutan simulacros y pruebas periódicas de la respuesta a emergencias?</t>
  </si>
  <si>
    <t>Cronograma de simulacros, informes, observaciones, evidencias fotográficas.</t>
  </si>
  <si>
    <t>LV-104</t>
  </si>
  <si>
    <t>Evaluación y revisión de respuesta</t>
  </si>
  <si>
    <t>Se evalúa desempeño y se revisa la respuesta planificada, especialmente después de pruebas o emergencias reales.</t>
  </si>
  <si>
    <t>¿Los simulacros y emergencias reales generan evaluación, lecciones aprendidas y mejoras al plan?</t>
  </si>
  <si>
    <t>Informes post simulacro, acciones correctivas, cambios al plan, seguimiento.</t>
  </si>
  <si>
    <t>LV-105</t>
  </si>
  <si>
    <t>Comunicación de emergencias</t>
  </si>
  <si>
    <t>Se comunica información pertinente a trabajadores, contratistas, visitantes, servicios de respuesta, autoridades y comunidad cuando aplique.</t>
  </si>
  <si>
    <t>¿La información de emergencia se comunica a todos los grupos pertinentes internos y externos?</t>
  </si>
  <si>
    <t>Inducción, señalización, comunicaciones a contratistas/visitantes, coordinación con bomberos/autoridades.</t>
  </si>
  <si>
    <t>LV-106</t>
  </si>
  <si>
    <t>Partes interesadas en emergencias</t>
  </si>
  <si>
    <t>Se tienen en cuenta necesidades y capacidades de partes interesadas pertinentes y se involucran según corresponda.</t>
  </si>
  <si>
    <t>¿El plan considera necesidades de personas vulnerables, contratistas, vecinos, servicios externos y comunidad?</t>
  </si>
  <si>
    <t>Análisis de partes interesadas, acuerdos de ayuda mutua, mapas de vulnerabilidad, simulacros conjuntos.</t>
  </si>
  <si>
    <t>LV-107</t>
  </si>
  <si>
    <t>Documentación de emergencias</t>
  </si>
  <si>
    <t>Se mantiene y conserva información documentada de procesos y planes de respuesta ante emergencias potenciales.</t>
  </si>
  <si>
    <t>¿La información documentada de emergencias está vigente, disponible y se conserva evidencia de pruebas y mejoras?</t>
  </si>
  <si>
    <t>Plan vigente, registros de simulacros, mantenimiento de equipos, actas de revisión.</t>
  </si>
  <si>
    <t>LV-108</t>
  </si>
  <si>
    <t>Verificar</t>
  </si>
  <si>
    <t>9 Evaluación del desempeño</t>
  </si>
  <si>
    <t>9.1.1</t>
  </si>
  <si>
    <t>Seguimiento, medición, análisis y evaluación</t>
  </si>
  <si>
    <t>Se establecen procesos para seguimiento, medición, análisis y evaluación del desempeño de SST.</t>
  </si>
  <si>
    <t>¿La organización cuenta con procesos definidos para medir, analizar y evaluar el desempeño del SG-SST?</t>
  </si>
  <si>
    <t>Procedimiento de indicadores, tablero, informes, fichas técnicas, responsables.</t>
  </si>
  <si>
    <t>Revise indicadores, mediciones, evaluaciones de cumplimiento, auditorías y revisiones por la dirección.</t>
  </si>
  <si>
    <t>Responsable SG-SST; auditoría interna; alta dirección; líderes de proceso</t>
  </si>
  <si>
    <t>ISO 45001:2018 9.1.1</t>
  </si>
  <si>
    <t>LV-109</t>
  </si>
  <si>
    <t>Qué medir y métodos</t>
  </si>
  <si>
    <t>Se determina qué necesita seguimiento y medición, métodos aplicables, criterios e indicadores.</t>
  </si>
  <si>
    <t>¿Los indicadores y mediciones cubren requisitos legales, riesgos, controles, objetivos y desempeño del sistema?</t>
  </si>
  <si>
    <t>Matriz de indicadores, métodos de medición, criterios de aceptación, calendario de seguimiento.</t>
  </si>
  <si>
    <t>LV-110</t>
  </si>
  <si>
    <t>Cuándo medir, analizar y evaluar</t>
  </si>
  <si>
    <t>Se determina cuándo realizar seguimiento/medición y cuándo analizar/evaluar resultados.</t>
  </si>
  <si>
    <t>¿La frecuencia de medición y análisis es adecuada a riesgos, requisitos y objetivos?</t>
  </si>
  <si>
    <t>Cronogramas, informes mensuales/trimestrales, revisión de indicadores.</t>
  </si>
  <si>
    <t>LV-111</t>
  </si>
  <si>
    <t>Desempeño y eficacia</t>
  </si>
  <si>
    <t>Se evalúa el desempeño de SST y la eficacia del SG-SST.</t>
  </si>
  <si>
    <t>¿Los datos permiten concluir sobre eficacia del SG-SST y desempeño de SST?</t>
  </si>
  <si>
    <t>Análisis de tendencias, resultados de objetivos, auditorías, revisión por dirección.</t>
  </si>
  <si>
    <t>LV-112</t>
  </si>
  <si>
    <t>Equipos de medición</t>
  </si>
  <si>
    <t>Los equipos de seguimiento y medición se calibran, verifican o mantienen según aplique.</t>
  </si>
  <si>
    <t>¿Los equipos de medición usados para SST están calibrados/verificados y son aptos para uso?</t>
  </si>
  <si>
    <t>Certificados de calibración, hojas de vida, mantenimiento, trazabilidad metrológica.</t>
  </si>
  <si>
    <t>LV-113</t>
  </si>
  <si>
    <t>Evidencia documentada de resultados</t>
  </si>
  <si>
    <t>Se conserva información documentada apropiada como evidencia de seguimiento, medición, análisis y evaluación.</t>
  </si>
  <si>
    <t>¿Se conservan registros confiables de mediciones, análisis y evaluaciones de desempeño?</t>
  </si>
  <si>
    <t>Informes, bases de datos, registros de indicadores, resultados de monitoreos.</t>
  </si>
  <si>
    <t>LV-114</t>
  </si>
  <si>
    <t>9.1.2</t>
  </si>
  <si>
    <t>Evaluación del cumplimiento</t>
  </si>
  <si>
    <t>Se determina frecuencia y métodos para evaluar cumplimiento legal y de otros requisitos.</t>
  </si>
  <si>
    <t>¿La organización define cómo y con qué frecuencia evalúa el cumplimiento legal y de otros requisitos?</t>
  </si>
  <si>
    <t>Procedimiento/matriz de cumplimiento, cronograma, criterios de evaluación.</t>
  </si>
  <si>
    <t>ISO 45001:2018 9.1.2</t>
  </si>
  <si>
    <t>LV-115</t>
  </si>
  <si>
    <t>Acciones por incumplimiento</t>
  </si>
  <si>
    <t>Se evalúa el cumplimiento y se toman acciones cuando es necesario.</t>
  </si>
  <si>
    <t>¿Los incumplimientos legales u otros requisitos generan acciones, responsables y seguimiento?</t>
  </si>
  <si>
    <t>Evaluaciones de cumplimiento, planes de acción, cierres, evidencias de corrección.</t>
  </si>
  <si>
    <t>LV-116</t>
  </si>
  <si>
    <t>Estado de cumplimiento</t>
  </si>
  <si>
    <t>Se mantiene conocimiento y comprensión del estado de cumplimiento.</t>
  </si>
  <si>
    <t>¿La alta dirección y responsables conocen el estado de cumplimiento y riesgos asociados?</t>
  </si>
  <si>
    <t>Informes de cumplimiento, indicadores legales, revisión por la dirección.</t>
  </si>
  <si>
    <t>LV-117</t>
  </si>
  <si>
    <t>Registros de cumplimiento</t>
  </si>
  <si>
    <t>Se conserva información documentada de resultados de evaluación del cumplimiento.</t>
  </si>
  <si>
    <t>¿Se conservan resultados de evaluaciones de cumplimiento y evidencias asociadas?</t>
  </si>
  <si>
    <t>Matriz de evaluación, soportes legales, actas, reportes.</t>
  </si>
  <si>
    <t>LV-118</t>
  </si>
  <si>
    <t>9.2.1</t>
  </si>
  <si>
    <t>Auditoría interna</t>
  </si>
  <si>
    <t>Se realizan auditorías internas a intervalos planificados para determinar conformidad y eficacia del SG-SST.</t>
  </si>
  <si>
    <t>¿La organización realiza auditorías internas planificadas que evalúan requisitos propios y de ISO 45001:2018?</t>
  </si>
  <si>
    <t>Programa y planes de auditoría, informes, listas de verificación, evidencias.</t>
  </si>
  <si>
    <t>ISO 45001:2018 9.2.1</t>
  </si>
  <si>
    <t>LV-119</t>
  </si>
  <si>
    <t>Implementación eficaz</t>
  </si>
  <si>
    <t>La auditoría interna aporta información sobre implementación y mantenimiento eficaz del SG-SST.</t>
  </si>
  <si>
    <t>¿Los informes de auditoría evalúan no solo documentación, sino implementación y eficacia?</t>
  </si>
  <si>
    <t>Informes con hallazgos basados en evidencia, entrevistas, observaciones, muestreo.</t>
  </si>
  <si>
    <t>LV-120</t>
  </si>
  <si>
    <t>9.2.2</t>
  </si>
  <si>
    <t>Programa de auditoría</t>
  </si>
  <si>
    <t>Se planifican, establecen, implementan y mantienen programas de auditoría con frecuencia, métodos, responsabilidades, consulta, planificación e informes.</t>
  </si>
  <si>
    <t>¿El programa de auditoría define frecuencia, métodos, responsabilidades, consulta, planificación y reportes?</t>
  </si>
  <si>
    <t>Programa anual de auditoría, procedimiento, recursos, criterios de priorización.</t>
  </si>
  <si>
    <t>ISO 45001:2018 9.2.2</t>
  </si>
  <si>
    <t>LV-121</t>
  </si>
  <si>
    <t>Importancia de procesos y auditorías previas</t>
  </si>
  <si>
    <t>El programa considera importancia de procesos involucrados y resultados de auditorías previas.</t>
  </si>
  <si>
    <t>¿La planificación de auditorías prioriza procesos críticos y hallazgos o resultados previos?</t>
  </si>
  <si>
    <t>Matriz de riesgos de auditoría, históricos de hallazgos, cambios del proceso.</t>
  </si>
  <si>
    <t>LV-122</t>
  </si>
  <si>
    <t>Criterios y alcance de auditoría</t>
  </si>
  <si>
    <t>Se define criterio y alcance para cada auditoría.</t>
  </si>
  <si>
    <t>¿Cada auditoría tiene criterio, alcance, objetivos, sedes/procesos y métodos definidos?</t>
  </si>
  <si>
    <t>Plan de auditoría, criterios ISO/legales/internos, alcance aprobado.</t>
  </si>
  <si>
    <t>LV-123</t>
  </si>
  <si>
    <t>Objetividad e imparcialidad</t>
  </si>
  <si>
    <t>Se seleccionan auditores y se realizan auditorías asegurando objetividad e imparcialidad.</t>
  </si>
  <si>
    <t>¿Los auditores son competentes e independientes del proceso auditado?</t>
  </si>
  <si>
    <t>Matriz de competencia de auditores, asignaciones, declaraciones de imparcialidad.</t>
  </si>
  <si>
    <t>LV-124</t>
  </si>
  <si>
    <t>Comunicación de resultados y acciones</t>
  </si>
  <si>
    <t>Los resultados se informan a directivos pertinentes, trabajadores/representantes y partes interesadas pertinentes; se toman acciones para no conformidades y mejora.</t>
  </si>
  <si>
    <t>¿Los resultados de auditoría se comunican y generan acciones con seguimiento hasta cierre?</t>
  </si>
  <si>
    <t>Informes, actas de cierre, planes de acción, evidencias de comunicación y seguimiento.</t>
  </si>
  <si>
    <t>LV-125</t>
  </si>
  <si>
    <t>Registros de auditoría</t>
  </si>
  <si>
    <t>Se conserva evidencia de implementación del programa y resultados de auditorías.</t>
  </si>
  <si>
    <t>¿La organización conserva registros completos del programa de auditoría y sus resultados?</t>
  </si>
  <si>
    <t>Programa, planes, listas de verificación, informes, competencias de auditores, acciones.</t>
  </si>
  <si>
    <t>LV-126</t>
  </si>
  <si>
    <t>9.3</t>
  </si>
  <si>
    <t>Revisión por la dirección</t>
  </si>
  <si>
    <t>La alta dirección revisa el SG-SST a intervalos planificados para asegurar conveniencia, adecuación y eficacia continuas.</t>
  </si>
  <si>
    <t>¿La alta dirección realiza revisiones periódicas del SG-SST con información suficiente para decidir?</t>
  </si>
  <si>
    <t>Actas de revisión, agenda, insumos, asistentes, decisiones y seguimiento.</t>
  </si>
  <si>
    <t>ISO 45001:2018 9.3</t>
  </si>
  <si>
    <t>LV-127</t>
  </si>
  <si>
    <t>Insumos de revisión: cambios</t>
  </si>
  <si>
    <t>La revisión considera acciones previas y cambios en cuestiones internas/externas pertinentes, partes interesadas, requisitos legales/otros, riesgos y oportunidades.</t>
  </si>
  <si>
    <t>¿La revisión por dirección evalúa cambios relevantes del contexto, requisitos, riesgos y partes interesadas?</t>
  </si>
  <si>
    <t>Actas, informes de cambios, matriz legal, matrices de riesgos/oportunidades.</t>
  </si>
  <si>
    <t>LV-128</t>
  </si>
  <si>
    <t>Insumos de revisión: política y objetivos</t>
  </si>
  <si>
    <t>La revisión considera grado de cumplimiento de política y objetivos de SST.</t>
  </si>
  <si>
    <t>¿La revisión analiza avance de objetivos y vigencia de la política de SST?</t>
  </si>
  <si>
    <t>Indicadores de objetivos, evaluación de política, decisiones de actualización.</t>
  </si>
  <si>
    <t>LV-129</t>
  </si>
  <si>
    <t>Insumos de revisión: desempeño</t>
  </si>
  <si>
    <t>La revisión considera tendencias de incidentes, no conformidades, acciones correctivas, seguimiento/medición, cumplimiento, auditoría, consulta/participación y riesgos/oportunidades.</t>
  </si>
  <si>
    <t>¿La revisión por dirección analiza tendencias y causas de desempeño del SG-SST?</t>
  </si>
  <si>
    <t>Informe gerencial, tendencias, auditorías, evaluación legal, participación, matriz de riesgos.</t>
  </si>
  <si>
    <t>LV-130</t>
  </si>
  <si>
    <t>Insumos de revisión: recursos y comunicaciones</t>
  </si>
  <si>
    <t>La revisión considera adecuación de recursos y comunicaciones pertinentes con partes interesadas.</t>
  </si>
  <si>
    <t>¿La dirección evalúa suficiencia de recursos y comunicaciones relevantes de SST?</t>
  </si>
  <si>
    <t>Presupuesto vs ejecución, necesidades de personal/equipos, comunicaciones externas/internas.</t>
  </si>
  <si>
    <t>LV-131</t>
  </si>
  <si>
    <t>Oportunidades de mejora</t>
  </si>
  <si>
    <t>La revisión considera oportunidades de mejora continua.</t>
  </si>
  <si>
    <t>¿La revisión identifica oportunidades concretas de mejora y prioriza acciones?</t>
  </si>
  <si>
    <t>Actas, planes de mejora, priorización, responsables, plazos.</t>
  </si>
  <si>
    <t>LV-132</t>
  </si>
  <si>
    <t>Salidas de revisión</t>
  </si>
  <si>
    <t>Las salidas incluyen decisiones sobre eficacia, mejora, cambios, recursos, acciones, integración con procesos y dirección estratégica.</t>
  </si>
  <si>
    <t>¿Las salidas de revisión son decisiones claras, asignadas y relacionadas con mejora, cambios, recursos o estrategia?</t>
  </si>
  <si>
    <t>Actas con decisiones, plan de acción, recursos aprobados, responsables y fechas.</t>
  </si>
  <si>
    <t>LV-133</t>
  </si>
  <si>
    <t>Comunicación de resultados</t>
  </si>
  <si>
    <t>Los resultados pertinentes se comunican a trabajadores y representantes cuando existan.</t>
  </si>
  <si>
    <t>¿Los resultados relevantes de la revisión se comunican a trabajadores y representantes?</t>
  </si>
  <si>
    <t>Comunicados, actas COPASST, reuniones, publicaciones.</t>
  </si>
  <si>
    <t>LV-134</t>
  </si>
  <si>
    <t>Evidencia documentada de revisión</t>
  </si>
  <si>
    <t>Se conserva información documentada como evidencia de resultados de revisiones por la dirección.</t>
  </si>
  <si>
    <t>¿La organización conserva evidencia completa de revisiones por dirección y seguimiento a decisiones?</t>
  </si>
  <si>
    <t>Actas, informes, anexos, planes de acción y evidencias de cierre.</t>
  </si>
  <si>
    <t>LV-135</t>
  </si>
  <si>
    <t>Actuar</t>
  </si>
  <si>
    <t>10 Mejora</t>
  </si>
  <si>
    <t>10.1</t>
  </si>
  <si>
    <t>Se determinan oportunidades de mejora y se implementan acciones para lograr resultados previstos del SG-SST.</t>
  </si>
  <si>
    <t>¿La organización identifica y ejecuta oportunidades de mejora del SG-SST y del desempeño de SST?</t>
  </si>
  <si>
    <t>Planes de mejora, auditorías, incidentes, revisión por dirección, sugerencias, indicadores.</t>
  </si>
  <si>
    <t>Muestree incidentes, no conformidades, acciones correctivas y evidencias de mejora.</t>
  </si>
  <si>
    <t>Documental + Entrevista + Muestreo</t>
  </si>
  <si>
    <t>Responsable SG-SST; investigación de incidentes; líderes; alta dirección; COPASST</t>
  </si>
  <si>
    <t>ISO 45001:2018 10.1</t>
  </si>
  <si>
    <t>LV-136</t>
  </si>
  <si>
    <t>10.2</t>
  </si>
  <si>
    <t>Reacción ante incidentes y no conformidades</t>
  </si>
  <si>
    <t>Ante incidentes o no conformidades se reacciona oportunamente, se controlan/corrigen y se atienden consecuencias.</t>
  </si>
  <si>
    <t>¿La organización reacciona oportunamente ante incidentes y no conformidades, controlando consecuencias inmediatas?</t>
  </si>
  <si>
    <t>Reportes, contención, atención médica, investigaciones, acciones inmediatas.</t>
  </si>
  <si>
    <t>ISO 45001:2018 10.2</t>
  </si>
  <si>
    <t>LV-137</t>
  </si>
  <si>
    <t>Evaluación de causas y participación</t>
  </si>
  <si>
    <t>Se evalúa, con participación de trabajadores y otras partes pertinentes, si se requieren acciones para eliminar causas.</t>
  </si>
  <si>
    <t>¿Las investigaciones involucran trabajadores pertinentes y determinan causas raíz para prevenir recurrencia?</t>
  </si>
  <si>
    <t>Investigaciones, entrevistas, método de causas, actas, participación COPASST/representantes.</t>
  </si>
  <si>
    <t>LV-138</t>
  </si>
  <si>
    <t>No recurrencia y ocurrencia en otros procesos</t>
  </si>
  <si>
    <t>Se determina si incidentes/no conformidades similares existen o podrían ocurrir en otra parte.</t>
  </si>
  <si>
    <t>¿La investigación evalúa recurrencia potencial y aplicación de acciones a procesos/sedes similares?</t>
  </si>
  <si>
    <t>Análisis de extensión, revisión de procesos similares, acciones transversales.</t>
  </si>
  <si>
    <t>LV-139</t>
  </si>
  <si>
    <t>Revisión de riesgos y oportunidades</t>
  </si>
  <si>
    <t>Se revisan evaluaciones de riesgos de SST, otros riesgos y oportunidades cuando corresponda.</t>
  </si>
  <si>
    <t>¿Incidentes/no conformidades actualizan matrices de peligros, riesgos, oportunidades y controles?</t>
  </si>
  <si>
    <t>Matrices actualizadas, cambios en procedimientos, controles nuevos, comunicación de cambios.</t>
  </si>
  <si>
    <t>LV-140</t>
  </si>
  <si>
    <t>Acciones correctivas y eficacia</t>
  </si>
  <si>
    <t>Se determinan e implementan acciones; se revisa su eficacia.</t>
  </si>
  <si>
    <t>¿Las acciones correctivas se implementan, verifican y cierran con evidencia de eficacia?</t>
  </si>
  <si>
    <t>Planes de acción, evidencias de implementación, verificación en campo, indicadores post acción.</t>
  </si>
  <si>
    <t>LV-141</t>
  </si>
  <si>
    <t>Cambios al SG-SST</t>
  </si>
  <si>
    <t>Se realizan cambios al SG-SST cuando sea necesario.</t>
  </si>
  <si>
    <t>¿Los resultados de incidentes/no conformidades generan cambios al sistema cuando corresponde?</t>
  </si>
  <si>
    <t>Cambios en procedimientos, objetivos, recursos, formación, controles operacionales.</t>
  </si>
  <si>
    <t>LV-142</t>
  </si>
  <si>
    <t>Proporcionalidad de acciones</t>
  </si>
  <si>
    <t>Las acciones correctivas son apropiadas a efectos o efectos potenciales de incidentes/no conformidades.</t>
  </si>
  <si>
    <t>¿La magnitud de las acciones correctivas corresponde al riesgo real o potencial del hallazgo?</t>
  </si>
  <si>
    <t>Evaluación de severidad, priorización, aprobación de acciones, recursos asignados.</t>
  </si>
  <si>
    <t>LV-143</t>
  </si>
  <si>
    <t>Registros y comunicación</t>
  </si>
  <si>
    <t>Se conserva información documentada de incidentes/no conformidades, acciones y resultados; se comunica información pertinente.</t>
  </si>
  <si>
    <t>¿La organización conserva registros y comunica resultados pertinentes de investigaciones y acciones?</t>
  </si>
  <si>
    <t>Base de incidentes/NC, informes, lecciones aprendidas, comunicaciones, registros de cierre.</t>
  </si>
  <si>
    <t>LV-144</t>
  </si>
  <si>
    <t>10.3</t>
  </si>
  <si>
    <t>Mejora continua del SG-SST</t>
  </si>
  <si>
    <t>Se mejora continuamente la conveniencia, adecuación y eficacia del SG-SST.</t>
  </si>
  <si>
    <t>¿La organización demuestra mejora continua del SG-SST mediante datos, decisiones y acciones?</t>
  </si>
  <si>
    <t>Tendencias, indicadores, auditorías, revisión por dirección, planes de mejora.</t>
  </si>
  <si>
    <t>ISO 45001:2018 10.3</t>
  </si>
  <si>
    <t>LV-145</t>
  </si>
  <si>
    <t>Mejora del desempeño de SST</t>
  </si>
  <si>
    <t>La mejora continua busca mejorar el desempeño de SST.</t>
  </si>
  <si>
    <t>¿Las mejoras implementadas se traducen en reducción de riesgos, incidentes o mejor control operacional?</t>
  </si>
  <si>
    <t>Indicadores antes/después, reducción de exposición, controles implementados, resultados de mediciones.</t>
  </si>
  <si>
    <t>LV-146</t>
  </si>
  <si>
    <t>Cultura y participación</t>
  </si>
  <si>
    <t>La mejora continua promueve cultura preventiva y participación de trabajadores.</t>
  </si>
  <si>
    <t>¿Las iniciativas de mejora fortalecen cultura preventiva y participación de trabajadores?</t>
  </si>
  <si>
    <t>Encuestas, reportes de peligros, participación en comités, campañas, reconocimientos.</t>
  </si>
  <si>
    <t>LV-147</t>
  </si>
  <si>
    <t>Comunicación y evidencia de mejora</t>
  </si>
  <si>
    <t>Se comunican resultados de mejora continua y se mantiene/conserva información documentada como evidencia.</t>
  </si>
  <si>
    <t>¿Los resultados de mejora se comunican y se conserva evidencia de acciones y resultados?</t>
  </si>
  <si>
    <t>Comunicados, actas, registros de mejora, indicadores, lecciones aprendidas.</t>
  </si>
  <si>
    <t>Resumen de auditoría ISO 45001:2018</t>
  </si>
  <si>
    <t>Total de criterios</t>
  </si>
  <si>
    <t>Preguntas</t>
  </si>
  <si>
    <t>Evaluadas</t>
  </si>
  <si>
    <t>Cumple</t>
  </si>
  <si>
    <t>Parcial</t>
  </si>
  <si>
    <t>No cumple</t>
  </si>
  <si>
    <t>No aplica</t>
  </si>
  <si>
    <t>% conformidad</t>
  </si>
  <si>
    <t>Criterios evaluados</t>
  </si>
  <si>
    <t>Pendientes / sin evaluar</t>
  </si>
  <si>
    <t>% avance de auditoría</t>
  </si>
  <si>
    <t>% conformidad evaluada</t>
  </si>
  <si>
    <t>No conformidades + parciales</t>
  </si>
  <si>
    <t>Cantidad</t>
  </si>
  <si>
    <t>Cumple parcial</t>
  </si>
  <si>
    <t>Método</t>
  </si>
  <si>
    <t>Sí/No</t>
  </si>
  <si>
    <t>Sin hallazgo</t>
  </si>
  <si>
    <t>Alta</t>
  </si>
  <si>
    <t>Documental</t>
  </si>
  <si>
    <t>Sí</t>
  </si>
  <si>
    <t>Observación</t>
  </si>
  <si>
    <t>Media</t>
  </si>
  <si>
    <t>Entrevista</t>
  </si>
  <si>
    <t>No</t>
  </si>
  <si>
    <t>Oportunidad de mejora</t>
  </si>
  <si>
    <t>Baja</t>
  </si>
  <si>
    <t>No conformidad menor</t>
  </si>
  <si>
    <t>Muestreo</t>
  </si>
  <si>
    <t>No conformidad mayor</t>
  </si>
  <si>
    <t>Fuentes y notas</t>
  </si>
  <si>
    <t>Fuente principal</t>
  </si>
  <si>
    <t>NTC-ISO 45001:2018 / ISO 45001:2018 (archivo PDF cargado por el usuario)</t>
  </si>
  <si>
    <t>Base de diseño</t>
  </si>
  <si>
    <t>La hoja se estructura en capítulos 4 a 10 porque la norma los presenta como requisitos para evaluar conformidad del SG-SST.</t>
  </si>
  <si>
    <t>Uso de la palabra 'debe'</t>
  </si>
  <si>
    <t>En la norma, 'debe' indica requisito; la matriz convierte esos requisitos en preguntas de auditoría y evidencias esperadas.</t>
  </si>
  <si>
    <t>Derechos de autor</t>
  </si>
  <si>
    <t>La lista está elaborada como paráfrasis operativa y checklist de auditoría; no reproduce ni sustituye el texto completo de la norma.</t>
  </si>
  <si>
    <t>Alcance</t>
  </si>
  <si>
    <t>Aplicable a auditorías internas, de segunda parte, autoevaluaciones o preparación para auditoría de certificación, ajustando muestra y criterios legales al contexto de la organización.</t>
  </si>
  <si>
    <t>Recomendación</t>
  </si>
  <si>
    <t>Complemente esta matriz con requisitos legales del país/sector, requisitos contractuales, matriz de peligros y procedimientos internos.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</si>
</sst>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5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name val="Aptos"/>
    </font>
    <font>
      <b/>
      <sz val="16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AF3F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2" fontId="2" fillId="0" borderId="0" xfId="0" applyNumberFormat="1" applyFont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165" fontId="2" fillId="0" borderId="0" xfId="0" applyNumberFormat="1" applyFont="1" applyAlignment="1">
      <alignment wrapText="1"/>
    </xf>
    <xf numFmtId="0" fontId="2" fillId="5" borderId="0" xfId="0" applyFont="1" applyFill="1" applyAlignment="1">
      <alignment wrapText="1"/>
    </xf>
    <xf numFmtId="0" fontId="3" fillId="5" borderId="0" xfId="0" applyFont="1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8">
    <dxf>
      <font>
        <color rgb="FF38761D"/>
      </font>
      <fill>
        <patternFill patternType="solid">
          <bgColor rgb="FFD9EAD3"/>
        </patternFill>
      </fill>
    </dxf>
    <dxf>
      <font>
        <color rgb="FFC65911"/>
      </font>
      <fill>
        <patternFill patternType="solid">
          <bgColor rgb="FFFCE4D6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color rgb="FF404040"/>
      </font>
      <fill>
        <patternFill patternType="solid">
          <bgColor rgb="FFE7E6E6"/>
        </patternFill>
      </fill>
    </dxf>
    <dxf>
      <font>
        <color rgb="FF305496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Resumen!$A$11:$A$15</c:f>
              <c:strCache>
                <c:ptCount val="5"/>
                <c:pt idx="0">
                  <c:v>Cumple</c:v>
                </c:pt>
                <c:pt idx="1">
                  <c:v>Cumple parcial</c:v>
                </c:pt>
                <c:pt idx="2">
                  <c:v>No cumple</c:v>
                </c:pt>
                <c:pt idx="3">
                  <c:v>No aplica</c:v>
                </c:pt>
                <c:pt idx="4">
                  <c:v>No evaluado</c:v>
                </c:pt>
              </c:strCache>
            </c:strRef>
          </c:cat>
          <c:val>
            <c:numRef>
              <c:f>Resumen!$B$11:$B$15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9-4352-8AF3-35843D776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ISO45001" displayName="ChecklistISO45001" ref="A1:X148">
  <tableColumns count="24">
    <tableColumn id="1" xr3:uid="{00000000-0010-0000-0000-000001000000}" name="ID"/>
    <tableColumn id="2" xr3:uid="{00000000-0010-0000-0000-000002000000}" name="Ciclo PHVA"/>
    <tableColumn id="3" xr3:uid="{00000000-0010-0000-0000-000003000000}" name="Capítulo"/>
    <tableColumn id="4" xr3:uid="{00000000-0010-0000-0000-000004000000}" name="Cláusula"/>
    <tableColumn id="5" xr3:uid="{00000000-0010-0000-0000-000005000000}" name="Tema"/>
    <tableColumn id="6" xr3:uid="{00000000-0010-0000-0000-000006000000}" name="Requisito resumido (paráfrasis)"/>
    <tableColumn id="7" xr3:uid="{00000000-0010-0000-0000-000007000000}" name="Pregunta de auditoría"/>
    <tableColumn id="8" xr3:uid="{00000000-0010-0000-0000-000008000000}" name="Evidencia objetiva esperada"/>
    <tableColumn id="9" xr3:uid="{00000000-0010-0000-0000-000009000000}" name="Muestra sugerida"/>
    <tableColumn id="10" xr3:uid="{00000000-0010-0000-0000-00000A000000}" name="Método sugerido"/>
    <tableColumn id="11" xr3:uid="{00000000-0010-0000-0000-00000B000000}" name="Roles / áreas a entrevistar"/>
    <tableColumn id="13" xr3:uid="{00000000-0010-0000-0000-00000D000000}" name="Estado"/>
    <tableColumn id="14" xr3:uid="{00000000-0010-0000-0000-00000E000000}" name="Puntaje"/>
    <tableColumn id="15" xr3:uid="{00000000-0010-0000-0000-00000F000000}" name="Tipo de hallazgo"/>
    <tableColumn id="16" xr3:uid="{00000000-0010-0000-0000-000010000000}" name="Criticidad"/>
    <tableColumn id="17" xr3:uid="{00000000-0010-0000-0000-000011000000}" name="Evidencia encontrada"/>
    <tableColumn id="18" xr3:uid="{00000000-0010-0000-0000-000012000000}" name="Análisis / hallazgo"/>
    <tableColumn id="19" xr3:uid="{00000000-0010-0000-0000-000013000000}" name="Acción recomendada"/>
    <tableColumn id="20" xr3:uid="{00000000-0010-0000-0000-000014000000}" name="Responsable"/>
    <tableColumn id="21" xr3:uid="{00000000-0010-0000-0000-000015000000}" name="Fecha compromiso"/>
    <tableColumn id="22" xr3:uid="{00000000-0010-0000-0000-000016000000}" name="Requiere acción correctiva"/>
    <tableColumn id="23" xr3:uid="{00000000-0010-0000-0000-000017000000}" name="Referencia norma"/>
    <tableColumn id="24" xr3:uid="{00000000-0010-0000-0000-000018000000}" name="Fuente"/>
    <tableColumn id="25" xr3:uid="{00000000-0010-0000-0000-000019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0"/>
  <sheetViews>
    <sheetView tabSelected="1" topLeftCell="L1" zoomScaleNormal="100" zoomScaleSheetLayoutView="100" workbookViewId="0">
      <selection activeCell="P2" sqref="P2"/>
    </sheetView>
  </sheetViews>
  <sheetFormatPr baseColWidth="10" defaultColWidth="8.796875" defaultRowHeight="13.8"/>
  <cols>
    <col min="1" max="1" width="10" customWidth="1"/>
    <col min="2" max="2" width="18" customWidth="1"/>
    <col min="3" max="3" width="26" customWidth="1"/>
    <col min="4" max="4" width="10" customWidth="1"/>
    <col min="5" max="5" width="28" customWidth="1"/>
    <col min="6" max="6" width="42" customWidth="1"/>
    <col min="7" max="7" width="45" customWidth="1"/>
    <col min="8" max="8" width="42" customWidth="1"/>
    <col min="9" max="9" width="36" customWidth="1"/>
    <col min="10" max="10" width="22" customWidth="1"/>
    <col min="11" max="11" width="34" customWidth="1"/>
    <col min="12" max="12" width="17" customWidth="1"/>
    <col min="13" max="13" width="10" customWidth="1"/>
    <col min="14" max="14" width="24" customWidth="1"/>
    <col min="15" max="15" width="14" customWidth="1"/>
    <col min="16" max="16" width="40" customWidth="1"/>
    <col min="17" max="17" width="42" customWidth="1"/>
    <col min="18" max="18" width="38" customWidth="1"/>
    <col min="19" max="19" width="20" customWidth="1"/>
    <col min="20" max="20" width="16" customWidth="1"/>
    <col min="21" max="21" width="22" customWidth="1"/>
    <col min="22" max="22" width="18" customWidth="1"/>
    <col min="23" max="23" width="22" customWidth="1"/>
    <col min="24" max="24" width="28" customWidth="1"/>
  </cols>
  <sheetData>
    <row r="1" spans="1:24" ht="36" customHeight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</row>
    <row r="2" spans="1:24" ht="41.4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50</v>
      </c>
      <c r="L2" s="7" t="s">
        <v>51</v>
      </c>
      <c r="M2" s="8" t="str">
        <f t="shared" ref="M2:M33" si="0">IF(L2="Cumple",1,IF(L2="Cumple parcial",0.5,IF(L2="No cumple",0,"")))</f>
        <v/>
      </c>
      <c r="N2" s="7"/>
      <c r="O2" s="7"/>
      <c r="P2" s="7"/>
      <c r="Q2" s="7"/>
      <c r="R2" s="7"/>
      <c r="S2" s="7"/>
      <c r="T2" s="9"/>
      <c r="U2" s="10" t="str">
        <f t="shared" ref="U2:U33" si="1">IF(OR(L2="No cumple",L2="Cumple parcial"),"Sí",IF(L2="Cumple","No",""))</f>
        <v/>
      </c>
      <c r="V2" s="6" t="s">
        <v>52</v>
      </c>
      <c r="W2" s="6" t="s">
        <v>53</v>
      </c>
      <c r="X2" s="6"/>
    </row>
    <row r="3" spans="1:24" ht="41.4">
      <c r="A3" s="6" t="s">
        <v>54</v>
      </c>
      <c r="B3" s="6" t="s">
        <v>41</v>
      </c>
      <c r="C3" s="6" t="s">
        <v>42</v>
      </c>
      <c r="D3" s="6" t="s">
        <v>43</v>
      </c>
      <c r="E3" s="6" t="s">
        <v>55</v>
      </c>
      <c r="F3" s="6" t="s">
        <v>56</v>
      </c>
      <c r="G3" s="6" t="s">
        <v>57</v>
      </c>
      <c r="H3" s="6" t="s">
        <v>58</v>
      </c>
      <c r="I3" s="6" t="s">
        <v>48</v>
      </c>
      <c r="J3" s="6" t="s">
        <v>49</v>
      </c>
      <c r="K3" s="6" t="s">
        <v>50</v>
      </c>
      <c r="L3" s="7" t="s">
        <v>51</v>
      </c>
      <c r="M3" s="8" t="str">
        <f t="shared" si="0"/>
        <v/>
      </c>
      <c r="N3" s="7"/>
      <c r="O3" s="7"/>
      <c r="P3" s="7"/>
      <c r="Q3" s="7"/>
      <c r="R3" s="7"/>
      <c r="S3" s="7"/>
      <c r="T3" s="9"/>
      <c r="U3" s="10" t="str">
        <f t="shared" si="1"/>
        <v/>
      </c>
      <c r="V3" s="6" t="s">
        <v>52</v>
      </c>
      <c r="W3" s="6" t="s">
        <v>53</v>
      </c>
      <c r="X3" s="6"/>
    </row>
    <row r="4" spans="1:24" ht="41.4">
      <c r="A4" s="6" t="s">
        <v>59</v>
      </c>
      <c r="B4" s="6" t="s">
        <v>41</v>
      </c>
      <c r="C4" s="6" t="s">
        <v>42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48</v>
      </c>
      <c r="J4" s="6" t="s">
        <v>49</v>
      </c>
      <c r="K4" s="6" t="s">
        <v>50</v>
      </c>
      <c r="L4" s="7" t="s">
        <v>51</v>
      </c>
      <c r="M4" s="8" t="str">
        <f t="shared" si="0"/>
        <v/>
      </c>
      <c r="N4" s="7"/>
      <c r="O4" s="7"/>
      <c r="P4" s="7"/>
      <c r="Q4" s="7"/>
      <c r="R4" s="7"/>
      <c r="S4" s="7"/>
      <c r="T4" s="9"/>
      <c r="U4" s="10" t="str">
        <f t="shared" si="1"/>
        <v/>
      </c>
      <c r="V4" s="6" t="s">
        <v>65</v>
      </c>
      <c r="W4" s="6" t="s">
        <v>53</v>
      </c>
      <c r="X4" s="6"/>
    </row>
    <row r="5" spans="1:24" ht="41.4">
      <c r="A5" s="6" t="s">
        <v>66</v>
      </c>
      <c r="B5" s="6" t="s">
        <v>41</v>
      </c>
      <c r="C5" s="6" t="s">
        <v>42</v>
      </c>
      <c r="D5" s="6" t="s">
        <v>60</v>
      </c>
      <c r="E5" s="6" t="s">
        <v>67</v>
      </c>
      <c r="F5" s="6" t="s">
        <v>68</v>
      </c>
      <c r="G5" s="6" t="s">
        <v>69</v>
      </c>
      <c r="H5" s="6" t="s">
        <v>70</v>
      </c>
      <c r="I5" s="6" t="s">
        <v>48</v>
      </c>
      <c r="J5" s="6" t="s">
        <v>49</v>
      </c>
      <c r="K5" s="6" t="s">
        <v>50</v>
      </c>
      <c r="L5" s="7" t="s">
        <v>51</v>
      </c>
      <c r="M5" s="8" t="str">
        <f t="shared" si="0"/>
        <v/>
      </c>
      <c r="N5" s="7"/>
      <c r="O5" s="7"/>
      <c r="P5" s="7"/>
      <c r="Q5" s="7"/>
      <c r="R5" s="7"/>
      <c r="S5" s="7"/>
      <c r="T5" s="9"/>
      <c r="U5" s="10" t="str">
        <f t="shared" si="1"/>
        <v/>
      </c>
      <c r="V5" s="6" t="s">
        <v>65</v>
      </c>
      <c r="W5" s="6" t="s">
        <v>53</v>
      </c>
      <c r="X5" s="6"/>
    </row>
    <row r="6" spans="1:24" ht="41.4">
      <c r="A6" s="6" t="s">
        <v>71</v>
      </c>
      <c r="B6" s="6" t="s">
        <v>41</v>
      </c>
      <c r="C6" s="6" t="s">
        <v>42</v>
      </c>
      <c r="D6" s="6" t="s">
        <v>72</v>
      </c>
      <c r="E6" s="6" t="s">
        <v>73</v>
      </c>
      <c r="F6" s="6" t="s">
        <v>74</v>
      </c>
      <c r="G6" s="6" t="s">
        <v>75</v>
      </c>
      <c r="H6" s="6" t="s">
        <v>76</v>
      </c>
      <c r="I6" s="6" t="s">
        <v>48</v>
      </c>
      <c r="J6" s="6" t="s">
        <v>49</v>
      </c>
      <c r="K6" s="6" t="s">
        <v>50</v>
      </c>
      <c r="L6" s="7" t="s">
        <v>51</v>
      </c>
      <c r="M6" s="8" t="str">
        <f t="shared" si="0"/>
        <v/>
      </c>
      <c r="N6" s="7"/>
      <c r="O6" s="7"/>
      <c r="P6" s="7"/>
      <c r="Q6" s="7"/>
      <c r="R6" s="7"/>
      <c r="S6" s="7"/>
      <c r="T6" s="9"/>
      <c r="U6" s="10" t="str">
        <f t="shared" si="1"/>
        <v/>
      </c>
      <c r="V6" s="6" t="s">
        <v>77</v>
      </c>
      <c r="W6" s="6" t="s">
        <v>53</v>
      </c>
      <c r="X6" s="6"/>
    </row>
    <row r="7" spans="1:24" ht="41.4">
      <c r="A7" s="6" t="s">
        <v>78</v>
      </c>
      <c r="B7" s="6" t="s">
        <v>41</v>
      </c>
      <c r="C7" s="6" t="s">
        <v>42</v>
      </c>
      <c r="D7" s="6" t="s">
        <v>72</v>
      </c>
      <c r="E7" s="6" t="s">
        <v>79</v>
      </c>
      <c r="F7" s="6" t="s">
        <v>80</v>
      </c>
      <c r="G7" s="6" t="s">
        <v>81</v>
      </c>
      <c r="H7" s="6" t="s">
        <v>82</v>
      </c>
      <c r="I7" s="6" t="s">
        <v>48</v>
      </c>
      <c r="J7" s="6" t="s">
        <v>49</v>
      </c>
      <c r="K7" s="6" t="s">
        <v>50</v>
      </c>
      <c r="L7" s="7" t="s">
        <v>51</v>
      </c>
      <c r="M7" s="8" t="str">
        <f t="shared" si="0"/>
        <v/>
      </c>
      <c r="N7" s="7"/>
      <c r="O7" s="7"/>
      <c r="P7" s="7"/>
      <c r="Q7" s="7"/>
      <c r="R7" s="7"/>
      <c r="S7" s="7"/>
      <c r="T7" s="9"/>
      <c r="U7" s="10" t="str">
        <f t="shared" si="1"/>
        <v/>
      </c>
      <c r="V7" s="6" t="s">
        <v>77</v>
      </c>
      <c r="W7" s="6" t="s">
        <v>53</v>
      </c>
      <c r="X7" s="6"/>
    </row>
    <row r="8" spans="1:24" ht="41.4">
      <c r="A8" s="6" t="s">
        <v>83</v>
      </c>
      <c r="B8" s="6" t="s">
        <v>41</v>
      </c>
      <c r="C8" s="6" t="s">
        <v>42</v>
      </c>
      <c r="D8" s="6" t="s">
        <v>84</v>
      </c>
      <c r="E8" s="6" t="s">
        <v>85</v>
      </c>
      <c r="F8" s="6" t="s">
        <v>86</v>
      </c>
      <c r="G8" s="6" t="s">
        <v>87</v>
      </c>
      <c r="H8" s="6" t="s">
        <v>88</v>
      </c>
      <c r="I8" s="6" t="s">
        <v>48</v>
      </c>
      <c r="J8" s="6" t="s">
        <v>49</v>
      </c>
      <c r="K8" s="6" t="s">
        <v>50</v>
      </c>
      <c r="L8" s="7" t="s">
        <v>51</v>
      </c>
      <c r="M8" s="8" t="str">
        <f t="shared" si="0"/>
        <v/>
      </c>
      <c r="N8" s="7"/>
      <c r="O8" s="7"/>
      <c r="P8" s="7"/>
      <c r="Q8" s="7"/>
      <c r="R8" s="7"/>
      <c r="S8" s="7"/>
      <c r="T8" s="9"/>
      <c r="U8" s="10" t="str">
        <f t="shared" si="1"/>
        <v/>
      </c>
      <c r="V8" s="6" t="s">
        <v>89</v>
      </c>
      <c r="W8" s="6" t="s">
        <v>53</v>
      </c>
      <c r="X8" s="6"/>
    </row>
    <row r="9" spans="1:24" ht="41.4">
      <c r="A9" s="6" t="s">
        <v>90</v>
      </c>
      <c r="B9" s="6" t="s">
        <v>91</v>
      </c>
      <c r="C9" s="6" t="s">
        <v>92</v>
      </c>
      <c r="D9" s="6" t="s">
        <v>93</v>
      </c>
      <c r="E9" s="6" t="s">
        <v>94</v>
      </c>
      <c r="F9" s="6" t="s">
        <v>95</v>
      </c>
      <c r="G9" s="6" t="s">
        <v>96</v>
      </c>
      <c r="H9" s="6" t="s">
        <v>97</v>
      </c>
      <c r="I9" s="6" t="s">
        <v>98</v>
      </c>
      <c r="J9" s="6" t="s">
        <v>99</v>
      </c>
      <c r="K9" s="6" t="s">
        <v>100</v>
      </c>
      <c r="L9" s="7" t="s">
        <v>51</v>
      </c>
      <c r="M9" s="8" t="str">
        <f t="shared" si="0"/>
        <v/>
      </c>
      <c r="N9" s="7"/>
      <c r="O9" s="7"/>
      <c r="P9" s="7"/>
      <c r="Q9" s="7"/>
      <c r="R9" s="7"/>
      <c r="S9" s="7"/>
      <c r="T9" s="9"/>
      <c r="U9" s="10" t="str">
        <f t="shared" si="1"/>
        <v/>
      </c>
      <c r="V9" s="6" t="s">
        <v>101</v>
      </c>
      <c r="W9" s="6" t="s">
        <v>53</v>
      </c>
      <c r="X9" s="6"/>
    </row>
    <row r="10" spans="1:24" ht="41.4">
      <c r="A10" s="6" t="s">
        <v>102</v>
      </c>
      <c r="B10" s="6" t="s">
        <v>91</v>
      </c>
      <c r="C10" s="6" t="s">
        <v>92</v>
      </c>
      <c r="D10" s="6" t="s">
        <v>93</v>
      </c>
      <c r="E10" s="6" t="s">
        <v>103</v>
      </c>
      <c r="F10" s="6" t="s">
        <v>104</v>
      </c>
      <c r="G10" s="6" t="s">
        <v>105</v>
      </c>
      <c r="H10" s="6" t="s">
        <v>106</v>
      </c>
      <c r="I10" s="6" t="s">
        <v>98</v>
      </c>
      <c r="J10" s="6" t="s">
        <v>99</v>
      </c>
      <c r="K10" s="6" t="s">
        <v>100</v>
      </c>
      <c r="L10" s="7" t="s">
        <v>51</v>
      </c>
      <c r="M10" s="8" t="str">
        <f t="shared" si="0"/>
        <v/>
      </c>
      <c r="N10" s="7"/>
      <c r="O10" s="7"/>
      <c r="P10" s="7"/>
      <c r="Q10" s="7"/>
      <c r="R10" s="7"/>
      <c r="S10" s="7"/>
      <c r="T10" s="9"/>
      <c r="U10" s="10" t="str">
        <f t="shared" si="1"/>
        <v/>
      </c>
      <c r="V10" s="6" t="s">
        <v>101</v>
      </c>
      <c r="W10" s="6" t="s">
        <v>53</v>
      </c>
      <c r="X10" s="6"/>
    </row>
    <row r="11" spans="1:24" ht="41.4">
      <c r="A11" s="6" t="s">
        <v>107</v>
      </c>
      <c r="B11" s="6" t="s">
        <v>91</v>
      </c>
      <c r="C11" s="6" t="s">
        <v>92</v>
      </c>
      <c r="D11" s="6" t="s">
        <v>93</v>
      </c>
      <c r="E11" s="6" t="s">
        <v>108</v>
      </c>
      <c r="F11" s="6" t="s">
        <v>109</v>
      </c>
      <c r="G11" s="6" t="s">
        <v>110</v>
      </c>
      <c r="H11" s="6" t="s">
        <v>111</v>
      </c>
      <c r="I11" s="6" t="s">
        <v>98</v>
      </c>
      <c r="J11" s="6" t="s">
        <v>99</v>
      </c>
      <c r="K11" s="6" t="s">
        <v>100</v>
      </c>
      <c r="L11" s="7" t="s">
        <v>51</v>
      </c>
      <c r="M11" s="8" t="str">
        <f t="shared" si="0"/>
        <v/>
      </c>
      <c r="N11" s="7"/>
      <c r="O11" s="7"/>
      <c r="P11" s="7"/>
      <c r="Q11" s="7"/>
      <c r="R11" s="7"/>
      <c r="S11" s="7"/>
      <c r="T11" s="9"/>
      <c r="U11" s="10" t="str">
        <f t="shared" si="1"/>
        <v/>
      </c>
      <c r="V11" s="6" t="s">
        <v>101</v>
      </c>
      <c r="W11" s="6" t="s">
        <v>53</v>
      </c>
      <c r="X11" s="6"/>
    </row>
    <row r="12" spans="1:24" ht="41.4">
      <c r="A12" s="6" t="s">
        <v>112</v>
      </c>
      <c r="B12" s="6" t="s">
        <v>91</v>
      </c>
      <c r="C12" s="6" t="s">
        <v>92</v>
      </c>
      <c r="D12" s="6" t="s">
        <v>93</v>
      </c>
      <c r="E12" s="6" t="s">
        <v>113</v>
      </c>
      <c r="F12" s="6" t="s">
        <v>114</v>
      </c>
      <c r="G12" s="6" t="s">
        <v>115</v>
      </c>
      <c r="H12" s="6" t="s">
        <v>116</v>
      </c>
      <c r="I12" s="6" t="s">
        <v>98</v>
      </c>
      <c r="J12" s="6" t="s">
        <v>99</v>
      </c>
      <c r="K12" s="6" t="s">
        <v>100</v>
      </c>
      <c r="L12" s="7" t="s">
        <v>51</v>
      </c>
      <c r="M12" s="8" t="str">
        <f t="shared" si="0"/>
        <v/>
      </c>
      <c r="N12" s="7"/>
      <c r="O12" s="7"/>
      <c r="P12" s="7"/>
      <c r="Q12" s="7"/>
      <c r="R12" s="7"/>
      <c r="S12" s="7"/>
      <c r="T12" s="9"/>
      <c r="U12" s="10" t="str">
        <f t="shared" si="1"/>
        <v/>
      </c>
      <c r="V12" s="6" t="s">
        <v>101</v>
      </c>
      <c r="W12" s="6" t="s">
        <v>53</v>
      </c>
      <c r="X12" s="6"/>
    </row>
    <row r="13" spans="1:24" ht="41.4">
      <c r="A13" s="6" t="s">
        <v>117</v>
      </c>
      <c r="B13" s="6" t="s">
        <v>91</v>
      </c>
      <c r="C13" s="6" t="s">
        <v>92</v>
      </c>
      <c r="D13" s="6" t="s">
        <v>93</v>
      </c>
      <c r="E13" s="6" t="s">
        <v>118</v>
      </c>
      <c r="F13" s="6" t="s">
        <v>119</v>
      </c>
      <c r="G13" s="6" t="s">
        <v>120</v>
      </c>
      <c r="H13" s="6" t="s">
        <v>121</v>
      </c>
      <c r="I13" s="6" t="s">
        <v>98</v>
      </c>
      <c r="J13" s="6" t="s">
        <v>99</v>
      </c>
      <c r="K13" s="6" t="s">
        <v>100</v>
      </c>
      <c r="L13" s="7" t="s">
        <v>51</v>
      </c>
      <c r="M13" s="8" t="str">
        <f t="shared" si="0"/>
        <v/>
      </c>
      <c r="N13" s="7"/>
      <c r="O13" s="7"/>
      <c r="P13" s="7"/>
      <c r="Q13" s="7"/>
      <c r="R13" s="7"/>
      <c r="S13" s="7"/>
      <c r="T13" s="9"/>
      <c r="U13" s="10" t="str">
        <f t="shared" si="1"/>
        <v/>
      </c>
      <c r="V13" s="6" t="s">
        <v>101</v>
      </c>
      <c r="W13" s="6" t="s">
        <v>53</v>
      </c>
      <c r="X13" s="6"/>
    </row>
    <row r="14" spans="1:24" ht="41.4">
      <c r="A14" s="6" t="s">
        <v>122</v>
      </c>
      <c r="B14" s="6" t="s">
        <v>91</v>
      </c>
      <c r="C14" s="6" t="s">
        <v>92</v>
      </c>
      <c r="D14" s="6" t="s">
        <v>93</v>
      </c>
      <c r="E14" s="6" t="s">
        <v>123</v>
      </c>
      <c r="F14" s="6" t="s">
        <v>124</v>
      </c>
      <c r="G14" s="6" t="s">
        <v>125</v>
      </c>
      <c r="H14" s="6" t="s">
        <v>126</v>
      </c>
      <c r="I14" s="6" t="s">
        <v>98</v>
      </c>
      <c r="J14" s="6" t="s">
        <v>99</v>
      </c>
      <c r="K14" s="6" t="s">
        <v>100</v>
      </c>
      <c r="L14" s="7" t="s">
        <v>51</v>
      </c>
      <c r="M14" s="8" t="str">
        <f t="shared" si="0"/>
        <v/>
      </c>
      <c r="N14" s="7"/>
      <c r="O14" s="7"/>
      <c r="P14" s="7"/>
      <c r="Q14" s="7"/>
      <c r="R14" s="7"/>
      <c r="S14" s="7"/>
      <c r="T14" s="9"/>
      <c r="U14" s="10" t="str">
        <f t="shared" si="1"/>
        <v/>
      </c>
      <c r="V14" s="6" t="s">
        <v>101</v>
      </c>
      <c r="W14" s="6" t="s">
        <v>53</v>
      </c>
      <c r="X14" s="6"/>
    </row>
    <row r="15" spans="1:24" ht="41.4">
      <c r="A15" s="6" t="s">
        <v>127</v>
      </c>
      <c r="B15" s="6" t="s">
        <v>91</v>
      </c>
      <c r="C15" s="6" t="s">
        <v>92</v>
      </c>
      <c r="D15" s="6" t="s">
        <v>93</v>
      </c>
      <c r="E15" s="6" t="s">
        <v>128</v>
      </c>
      <c r="F15" s="6" t="s">
        <v>129</v>
      </c>
      <c r="G15" s="6" t="s">
        <v>130</v>
      </c>
      <c r="H15" s="6" t="s">
        <v>131</v>
      </c>
      <c r="I15" s="6" t="s">
        <v>98</v>
      </c>
      <c r="J15" s="6" t="s">
        <v>99</v>
      </c>
      <c r="K15" s="6" t="s">
        <v>100</v>
      </c>
      <c r="L15" s="7" t="s">
        <v>51</v>
      </c>
      <c r="M15" s="8" t="str">
        <f t="shared" si="0"/>
        <v/>
      </c>
      <c r="N15" s="7"/>
      <c r="O15" s="7"/>
      <c r="P15" s="7"/>
      <c r="Q15" s="7"/>
      <c r="R15" s="7"/>
      <c r="S15" s="7"/>
      <c r="T15" s="9"/>
      <c r="U15" s="10" t="str">
        <f t="shared" si="1"/>
        <v/>
      </c>
      <c r="V15" s="6" t="s">
        <v>101</v>
      </c>
      <c r="W15" s="6" t="s">
        <v>53</v>
      </c>
      <c r="X15" s="6"/>
    </row>
    <row r="16" spans="1:24" ht="41.4">
      <c r="A16" s="6" t="s">
        <v>132</v>
      </c>
      <c r="B16" s="6" t="s">
        <v>91</v>
      </c>
      <c r="C16" s="6" t="s">
        <v>92</v>
      </c>
      <c r="D16" s="6" t="s">
        <v>93</v>
      </c>
      <c r="E16" s="6" t="s">
        <v>133</v>
      </c>
      <c r="F16" s="6" t="s">
        <v>134</v>
      </c>
      <c r="G16" s="6" t="s">
        <v>135</v>
      </c>
      <c r="H16" s="6" t="s">
        <v>136</v>
      </c>
      <c r="I16" s="6" t="s">
        <v>98</v>
      </c>
      <c r="J16" s="6" t="s">
        <v>99</v>
      </c>
      <c r="K16" s="6" t="s">
        <v>100</v>
      </c>
      <c r="L16" s="7" t="s">
        <v>51</v>
      </c>
      <c r="M16" s="8" t="str">
        <f t="shared" si="0"/>
        <v/>
      </c>
      <c r="N16" s="7"/>
      <c r="O16" s="7"/>
      <c r="P16" s="7"/>
      <c r="Q16" s="7"/>
      <c r="R16" s="7"/>
      <c r="S16" s="7"/>
      <c r="T16" s="9"/>
      <c r="U16" s="10" t="str">
        <f t="shared" si="1"/>
        <v/>
      </c>
      <c r="V16" s="6" t="s">
        <v>101</v>
      </c>
      <c r="W16" s="6" t="s">
        <v>53</v>
      </c>
      <c r="X16" s="6"/>
    </row>
    <row r="17" spans="1:24" ht="41.4">
      <c r="A17" s="6" t="s">
        <v>137</v>
      </c>
      <c r="B17" s="6" t="s">
        <v>91</v>
      </c>
      <c r="C17" s="6" t="s">
        <v>92</v>
      </c>
      <c r="D17" s="6" t="s">
        <v>138</v>
      </c>
      <c r="E17" s="6" t="s">
        <v>139</v>
      </c>
      <c r="F17" s="6" t="s">
        <v>140</v>
      </c>
      <c r="G17" s="6" t="s">
        <v>141</v>
      </c>
      <c r="H17" s="6" t="s">
        <v>142</v>
      </c>
      <c r="I17" s="6" t="s">
        <v>98</v>
      </c>
      <c r="J17" s="6" t="s">
        <v>99</v>
      </c>
      <c r="K17" s="6" t="s">
        <v>100</v>
      </c>
      <c r="L17" s="7" t="s">
        <v>51</v>
      </c>
      <c r="M17" s="8" t="str">
        <f t="shared" si="0"/>
        <v/>
      </c>
      <c r="N17" s="7"/>
      <c r="O17" s="7"/>
      <c r="P17" s="7"/>
      <c r="Q17" s="7"/>
      <c r="R17" s="7"/>
      <c r="S17" s="7"/>
      <c r="T17" s="9"/>
      <c r="U17" s="10" t="str">
        <f t="shared" si="1"/>
        <v/>
      </c>
      <c r="V17" s="6" t="s">
        <v>143</v>
      </c>
      <c r="W17" s="6" t="s">
        <v>53</v>
      </c>
      <c r="X17" s="6"/>
    </row>
    <row r="18" spans="1:24" ht="55.2">
      <c r="A18" s="6" t="s">
        <v>144</v>
      </c>
      <c r="B18" s="6" t="s">
        <v>91</v>
      </c>
      <c r="C18" s="6" t="s">
        <v>92</v>
      </c>
      <c r="D18" s="6" t="s">
        <v>138</v>
      </c>
      <c r="E18" s="6" t="s">
        <v>145</v>
      </c>
      <c r="F18" s="6" t="s">
        <v>146</v>
      </c>
      <c r="G18" s="6" t="s">
        <v>147</v>
      </c>
      <c r="H18" s="6" t="s">
        <v>148</v>
      </c>
      <c r="I18" s="6" t="s">
        <v>98</v>
      </c>
      <c r="J18" s="6" t="s">
        <v>99</v>
      </c>
      <c r="K18" s="6" t="s">
        <v>100</v>
      </c>
      <c r="L18" s="7" t="s">
        <v>51</v>
      </c>
      <c r="M18" s="8" t="str">
        <f t="shared" si="0"/>
        <v/>
      </c>
      <c r="N18" s="7"/>
      <c r="O18" s="7"/>
      <c r="P18" s="7"/>
      <c r="Q18" s="7"/>
      <c r="R18" s="7"/>
      <c r="S18" s="7"/>
      <c r="T18" s="9"/>
      <c r="U18" s="10" t="str">
        <f t="shared" si="1"/>
        <v/>
      </c>
      <c r="V18" s="6" t="s">
        <v>143</v>
      </c>
      <c r="W18" s="6" t="s">
        <v>53</v>
      </c>
      <c r="X18" s="6"/>
    </row>
    <row r="19" spans="1:24" ht="41.4">
      <c r="A19" s="6" t="s">
        <v>149</v>
      </c>
      <c r="B19" s="6" t="s">
        <v>91</v>
      </c>
      <c r="C19" s="6" t="s">
        <v>92</v>
      </c>
      <c r="D19" s="6" t="s">
        <v>138</v>
      </c>
      <c r="E19" s="6" t="s">
        <v>150</v>
      </c>
      <c r="F19" s="6" t="s">
        <v>151</v>
      </c>
      <c r="G19" s="6" t="s">
        <v>152</v>
      </c>
      <c r="H19" s="6" t="s">
        <v>153</v>
      </c>
      <c r="I19" s="6" t="s">
        <v>98</v>
      </c>
      <c r="J19" s="6" t="s">
        <v>99</v>
      </c>
      <c r="K19" s="6" t="s">
        <v>100</v>
      </c>
      <c r="L19" s="7" t="s">
        <v>51</v>
      </c>
      <c r="M19" s="8" t="str">
        <f t="shared" si="0"/>
        <v/>
      </c>
      <c r="N19" s="7"/>
      <c r="O19" s="7"/>
      <c r="P19" s="7"/>
      <c r="Q19" s="7"/>
      <c r="R19" s="7"/>
      <c r="S19" s="7"/>
      <c r="T19" s="9"/>
      <c r="U19" s="10" t="str">
        <f t="shared" si="1"/>
        <v/>
      </c>
      <c r="V19" s="6" t="s">
        <v>143</v>
      </c>
      <c r="W19" s="6" t="s">
        <v>53</v>
      </c>
      <c r="X19" s="6"/>
    </row>
    <row r="20" spans="1:24" ht="41.4">
      <c r="A20" s="6" t="s">
        <v>154</v>
      </c>
      <c r="B20" s="6" t="s">
        <v>91</v>
      </c>
      <c r="C20" s="6" t="s">
        <v>92</v>
      </c>
      <c r="D20" s="6" t="s">
        <v>138</v>
      </c>
      <c r="E20" s="6" t="s">
        <v>155</v>
      </c>
      <c r="F20" s="6" t="s">
        <v>156</v>
      </c>
      <c r="G20" s="6" t="s">
        <v>157</v>
      </c>
      <c r="H20" s="6" t="s">
        <v>158</v>
      </c>
      <c r="I20" s="6" t="s">
        <v>98</v>
      </c>
      <c r="J20" s="6" t="s">
        <v>99</v>
      </c>
      <c r="K20" s="6" t="s">
        <v>100</v>
      </c>
      <c r="L20" s="7" t="s">
        <v>51</v>
      </c>
      <c r="M20" s="8" t="str">
        <f t="shared" si="0"/>
        <v/>
      </c>
      <c r="N20" s="7"/>
      <c r="O20" s="7"/>
      <c r="P20" s="7"/>
      <c r="Q20" s="7"/>
      <c r="R20" s="7"/>
      <c r="S20" s="7"/>
      <c r="T20" s="9"/>
      <c r="U20" s="10" t="str">
        <f t="shared" si="1"/>
        <v/>
      </c>
      <c r="V20" s="6" t="s">
        <v>143</v>
      </c>
      <c r="W20" s="6" t="s">
        <v>53</v>
      </c>
      <c r="X20" s="6"/>
    </row>
    <row r="21" spans="1:24" ht="41.4">
      <c r="A21" s="6" t="s">
        <v>159</v>
      </c>
      <c r="B21" s="6" t="s">
        <v>91</v>
      </c>
      <c r="C21" s="6" t="s">
        <v>92</v>
      </c>
      <c r="D21" s="6" t="s">
        <v>160</v>
      </c>
      <c r="E21" s="6" t="s">
        <v>161</v>
      </c>
      <c r="F21" s="6" t="s">
        <v>162</v>
      </c>
      <c r="G21" s="6" t="s">
        <v>163</v>
      </c>
      <c r="H21" s="6" t="s">
        <v>164</v>
      </c>
      <c r="I21" s="6" t="s">
        <v>98</v>
      </c>
      <c r="J21" s="6" t="s">
        <v>99</v>
      </c>
      <c r="K21" s="6" t="s">
        <v>100</v>
      </c>
      <c r="L21" s="7" t="s">
        <v>51</v>
      </c>
      <c r="M21" s="8" t="str">
        <f t="shared" si="0"/>
        <v/>
      </c>
      <c r="N21" s="7"/>
      <c r="O21" s="7"/>
      <c r="P21" s="7"/>
      <c r="Q21" s="7"/>
      <c r="R21" s="7"/>
      <c r="S21" s="7"/>
      <c r="T21" s="9"/>
      <c r="U21" s="10" t="str">
        <f t="shared" si="1"/>
        <v/>
      </c>
      <c r="V21" s="6" t="s">
        <v>165</v>
      </c>
      <c r="W21" s="6" t="s">
        <v>53</v>
      </c>
      <c r="X21" s="6"/>
    </row>
    <row r="22" spans="1:24" ht="41.4">
      <c r="A22" s="6" t="s">
        <v>166</v>
      </c>
      <c r="B22" s="6" t="s">
        <v>91</v>
      </c>
      <c r="C22" s="6" t="s">
        <v>92</v>
      </c>
      <c r="D22" s="6" t="s">
        <v>160</v>
      </c>
      <c r="E22" s="6" t="s">
        <v>167</v>
      </c>
      <c r="F22" s="6" t="s">
        <v>168</v>
      </c>
      <c r="G22" s="6" t="s">
        <v>169</v>
      </c>
      <c r="H22" s="6" t="s">
        <v>170</v>
      </c>
      <c r="I22" s="6" t="s">
        <v>98</v>
      </c>
      <c r="J22" s="6" t="s">
        <v>99</v>
      </c>
      <c r="K22" s="6" t="s">
        <v>100</v>
      </c>
      <c r="L22" s="7" t="s">
        <v>51</v>
      </c>
      <c r="M22" s="8" t="str">
        <f t="shared" si="0"/>
        <v/>
      </c>
      <c r="N22" s="7"/>
      <c r="O22" s="7"/>
      <c r="P22" s="7"/>
      <c r="Q22" s="7"/>
      <c r="R22" s="7"/>
      <c r="S22" s="7"/>
      <c r="T22" s="9"/>
      <c r="U22" s="10" t="str">
        <f t="shared" si="1"/>
        <v/>
      </c>
      <c r="V22" s="6" t="s">
        <v>165</v>
      </c>
      <c r="W22" s="6" t="s">
        <v>53</v>
      </c>
      <c r="X22" s="6"/>
    </row>
    <row r="23" spans="1:24" ht="41.4">
      <c r="A23" s="6" t="s">
        <v>171</v>
      </c>
      <c r="B23" s="6" t="s">
        <v>91</v>
      </c>
      <c r="C23" s="6" t="s">
        <v>92</v>
      </c>
      <c r="D23" s="6" t="s">
        <v>160</v>
      </c>
      <c r="E23" s="6" t="s">
        <v>172</v>
      </c>
      <c r="F23" s="6" t="s">
        <v>173</v>
      </c>
      <c r="G23" s="6" t="s">
        <v>174</v>
      </c>
      <c r="H23" s="6" t="s">
        <v>175</v>
      </c>
      <c r="I23" s="6" t="s">
        <v>98</v>
      </c>
      <c r="J23" s="6" t="s">
        <v>99</v>
      </c>
      <c r="K23" s="6" t="s">
        <v>100</v>
      </c>
      <c r="L23" s="7" t="s">
        <v>51</v>
      </c>
      <c r="M23" s="8" t="str">
        <f t="shared" si="0"/>
        <v/>
      </c>
      <c r="N23" s="7"/>
      <c r="O23" s="7"/>
      <c r="P23" s="7"/>
      <c r="Q23" s="7"/>
      <c r="R23" s="7"/>
      <c r="S23" s="7"/>
      <c r="T23" s="9"/>
      <c r="U23" s="10" t="str">
        <f t="shared" si="1"/>
        <v/>
      </c>
      <c r="V23" s="6" t="s">
        <v>165</v>
      </c>
      <c r="W23" s="6" t="s">
        <v>53</v>
      </c>
      <c r="X23" s="6"/>
    </row>
    <row r="24" spans="1:24" ht="55.2">
      <c r="A24" s="6" t="s">
        <v>176</v>
      </c>
      <c r="B24" s="6" t="s">
        <v>91</v>
      </c>
      <c r="C24" s="6" t="s">
        <v>92</v>
      </c>
      <c r="D24" s="6" t="s">
        <v>177</v>
      </c>
      <c r="E24" s="6" t="s">
        <v>178</v>
      </c>
      <c r="F24" s="6" t="s">
        <v>179</v>
      </c>
      <c r="G24" s="6" t="s">
        <v>180</v>
      </c>
      <c r="H24" s="6" t="s">
        <v>181</v>
      </c>
      <c r="I24" s="6" t="s">
        <v>98</v>
      </c>
      <c r="J24" s="6" t="s">
        <v>99</v>
      </c>
      <c r="K24" s="6" t="s">
        <v>100</v>
      </c>
      <c r="L24" s="7" t="s">
        <v>51</v>
      </c>
      <c r="M24" s="8" t="str">
        <f t="shared" si="0"/>
        <v/>
      </c>
      <c r="N24" s="7"/>
      <c r="O24" s="7"/>
      <c r="P24" s="7"/>
      <c r="Q24" s="7"/>
      <c r="R24" s="7"/>
      <c r="S24" s="7"/>
      <c r="T24" s="9"/>
      <c r="U24" s="10" t="str">
        <f t="shared" si="1"/>
        <v/>
      </c>
      <c r="V24" s="6" t="s">
        <v>182</v>
      </c>
      <c r="W24" s="6" t="s">
        <v>53</v>
      </c>
      <c r="X24" s="6"/>
    </row>
    <row r="25" spans="1:24" ht="41.4">
      <c r="A25" s="6" t="s">
        <v>183</v>
      </c>
      <c r="B25" s="6" t="s">
        <v>91</v>
      </c>
      <c r="C25" s="6" t="s">
        <v>92</v>
      </c>
      <c r="D25" s="6" t="s">
        <v>177</v>
      </c>
      <c r="E25" s="6" t="s">
        <v>184</v>
      </c>
      <c r="F25" s="6" t="s">
        <v>185</v>
      </c>
      <c r="G25" s="6" t="s">
        <v>186</v>
      </c>
      <c r="H25" s="6" t="s">
        <v>187</v>
      </c>
      <c r="I25" s="6" t="s">
        <v>98</v>
      </c>
      <c r="J25" s="6" t="s">
        <v>99</v>
      </c>
      <c r="K25" s="6" t="s">
        <v>100</v>
      </c>
      <c r="L25" s="7" t="s">
        <v>51</v>
      </c>
      <c r="M25" s="8" t="str">
        <f t="shared" si="0"/>
        <v/>
      </c>
      <c r="N25" s="7"/>
      <c r="O25" s="7"/>
      <c r="P25" s="7"/>
      <c r="Q25" s="7"/>
      <c r="R25" s="7"/>
      <c r="S25" s="7"/>
      <c r="T25" s="9"/>
      <c r="U25" s="10" t="str">
        <f t="shared" si="1"/>
        <v/>
      </c>
      <c r="V25" s="6" t="s">
        <v>182</v>
      </c>
      <c r="W25" s="6" t="s">
        <v>53</v>
      </c>
      <c r="X25" s="6"/>
    </row>
    <row r="26" spans="1:24" ht="41.4">
      <c r="A26" s="6" t="s">
        <v>188</v>
      </c>
      <c r="B26" s="6" t="s">
        <v>91</v>
      </c>
      <c r="C26" s="6" t="s">
        <v>92</v>
      </c>
      <c r="D26" s="6" t="s">
        <v>177</v>
      </c>
      <c r="E26" s="6" t="s">
        <v>189</v>
      </c>
      <c r="F26" s="6" t="s">
        <v>190</v>
      </c>
      <c r="G26" s="6" t="s">
        <v>191</v>
      </c>
      <c r="H26" s="6" t="s">
        <v>192</v>
      </c>
      <c r="I26" s="6" t="s">
        <v>98</v>
      </c>
      <c r="J26" s="6" t="s">
        <v>99</v>
      </c>
      <c r="K26" s="6" t="s">
        <v>100</v>
      </c>
      <c r="L26" s="7" t="s">
        <v>51</v>
      </c>
      <c r="M26" s="8" t="str">
        <f t="shared" si="0"/>
        <v/>
      </c>
      <c r="N26" s="7"/>
      <c r="O26" s="7"/>
      <c r="P26" s="7"/>
      <c r="Q26" s="7"/>
      <c r="R26" s="7"/>
      <c r="S26" s="7"/>
      <c r="T26" s="9"/>
      <c r="U26" s="10" t="str">
        <f t="shared" si="1"/>
        <v/>
      </c>
      <c r="V26" s="6" t="s">
        <v>182</v>
      </c>
      <c r="W26" s="6" t="s">
        <v>53</v>
      </c>
      <c r="X26" s="6"/>
    </row>
    <row r="27" spans="1:24" ht="41.4">
      <c r="A27" s="6" t="s">
        <v>193</v>
      </c>
      <c r="B27" s="6" t="s">
        <v>91</v>
      </c>
      <c r="C27" s="6" t="s">
        <v>92</v>
      </c>
      <c r="D27" s="6" t="s">
        <v>177</v>
      </c>
      <c r="E27" s="6" t="s">
        <v>194</v>
      </c>
      <c r="F27" s="6" t="s">
        <v>195</v>
      </c>
      <c r="G27" s="6" t="s">
        <v>196</v>
      </c>
      <c r="H27" s="6" t="s">
        <v>197</v>
      </c>
      <c r="I27" s="6" t="s">
        <v>98</v>
      </c>
      <c r="J27" s="6" t="s">
        <v>99</v>
      </c>
      <c r="K27" s="6" t="s">
        <v>100</v>
      </c>
      <c r="L27" s="7" t="s">
        <v>51</v>
      </c>
      <c r="M27" s="8" t="str">
        <f t="shared" si="0"/>
        <v/>
      </c>
      <c r="N27" s="7"/>
      <c r="O27" s="7"/>
      <c r="P27" s="7"/>
      <c r="Q27" s="7"/>
      <c r="R27" s="7"/>
      <c r="S27" s="7"/>
      <c r="T27" s="9"/>
      <c r="U27" s="10" t="str">
        <f t="shared" si="1"/>
        <v/>
      </c>
      <c r="V27" s="6" t="s">
        <v>182</v>
      </c>
      <c r="W27" s="6" t="s">
        <v>53</v>
      </c>
      <c r="X27" s="6"/>
    </row>
    <row r="28" spans="1:24" ht="41.4">
      <c r="A28" s="6" t="s">
        <v>198</v>
      </c>
      <c r="B28" s="6" t="s">
        <v>91</v>
      </c>
      <c r="C28" s="6" t="s">
        <v>92</v>
      </c>
      <c r="D28" s="6" t="s">
        <v>177</v>
      </c>
      <c r="E28" s="6" t="s">
        <v>199</v>
      </c>
      <c r="F28" s="6" t="s">
        <v>200</v>
      </c>
      <c r="G28" s="6" t="s">
        <v>201</v>
      </c>
      <c r="H28" s="6" t="s">
        <v>202</v>
      </c>
      <c r="I28" s="6" t="s">
        <v>98</v>
      </c>
      <c r="J28" s="6" t="s">
        <v>99</v>
      </c>
      <c r="K28" s="6" t="s">
        <v>100</v>
      </c>
      <c r="L28" s="7" t="s">
        <v>51</v>
      </c>
      <c r="M28" s="8" t="str">
        <f t="shared" si="0"/>
        <v/>
      </c>
      <c r="N28" s="7"/>
      <c r="O28" s="7"/>
      <c r="P28" s="7"/>
      <c r="Q28" s="7"/>
      <c r="R28" s="7"/>
      <c r="S28" s="7"/>
      <c r="T28" s="9"/>
      <c r="U28" s="10" t="str">
        <f t="shared" si="1"/>
        <v/>
      </c>
      <c r="V28" s="6" t="s">
        <v>182</v>
      </c>
      <c r="W28" s="6" t="s">
        <v>53</v>
      </c>
      <c r="X28" s="6"/>
    </row>
    <row r="29" spans="1:24" ht="69">
      <c r="A29" s="6" t="s">
        <v>203</v>
      </c>
      <c r="B29" s="6" t="s">
        <v>91</v>
      </c>
      <c r="C29" s="6" t="s">
        <v>92</v>
      </c>
      <c r="D29" s="6" t="s">
        <v>177</v>
      </c>
      <c r="E29" s="6" t="s">
        <v>204</v>
      </c>
      <c r="F29" s="6" t="s">
        <v>205</v>
      </c>
      <c r="G29" s="6" t="s">
        <v>206</v>
      </c>
      <c r="H29" s="6" t="s">
        <v>207</v>
      </c>
      <c r="I29" s="6" t="s">
        <v>98</v>
      </c>
      <c r="J29" s="6" t="s">
        <v>99</v>
      </c>
      <c r="K29" s="6" t="s">
        <v>100</v>
      </c>
      <c r="L29" s="7" t="s">
        <v>51</v>
      </c>
      <c r="M29" s="8" t="str">
        <f t="shared" si="0"/>
        <v/>
      </c>
      <c r="N29" s="7"/>
      <c r="O29" s="7"/>
      <c r="P29" s="7"/>
      <c r="Q29" s="7"/>
      <c r="R29" s="7"/>
      <c r="S29" s="7"/>
      <c r="T29" s="9"/>
      <c r="U29" s="10" t="str">
        <f t="shared" si="1"/>
        <v/>
      </c>
      <c r="V29" s="6" t="s">
        <v>182</v>
      </c>
      <c r="W29" s="6" t="s">
        <v>53</v>
      </c>
      <c r="X29" s="6"/>
    </row>
    <row r="30" spans="1:24" ht="41.4">
      <c r="A30" s="6" t="s">
        <v>208</v>
      </c>
      <c r="B30" s="6" t="s">
        <v>209</v>
      </c>
      <c r="C30" s="6" t="s">
        <v>210</v>
      </c>
      <c r="D30" s="6" t="s">
        <v>211</v>
      </c>
      <c r="E30" s="6" t="s">
        <v>212</v>
      </c>
      <c r="F30" s="6" t="s">
        <v>213</v>
      </c>
      <c r="G30" s="6" t="s">
        <v>214</v>
      </c>
      <c r="H30" s="6" t="s">
        <v>215</v>
      </c>
      <c r="I30" s="6" t="s">
        <v>216</v>
      </c>
      <c r="J30" s="6" t="s">
        <v>217</v>
      </c>
      <c r="K30" s="6" t="s">
        <v>218</v>
      </c>
      <c r="L30" s="7" t="s">
        <v>51</v>
      </c>
      <c r="M30" s="8" t="str">
        <f t="shared" si="0"/>
        <v/>
      </c>
      <c r="N30" s="7"/>
      <c r="O30" s="7"/>
      <c r="P30" s="7"/>
      <c r="Q30" s="7"/>
      <c r="R30" s="7"/>
      <c r="S30" s="7"/>
      <c r="T30" s="9"/>
      <c r="U30" s="10" t="str">
        <f t="shared" si="1"/>
        <v/>
      </c>
      <c r="V30" s="6" t="s">
        <v>219</v>
      </c>
      <c r="W30" s="6" t="s">
        <v>53</v>
      </c>
      <c r="X30" s="6"/>
    </row>
    <row r="31" spans="1:24" ht="41.4">
      <c r="A31" s="6" t="s">
        <v>220</v>
      </c>
      <c r="B31" s="6" t="s">
        <v>209</v>
      </c>
      <c r="C31" s="6" t="s">
        <v>210</v>
      </c>
      <c r="D31" s="6" t="s">
        <v>211</v>
      </c>
      <c r="E31" s="6" t="s">
        <v>221</v>
      </c>
      <c r="F31" s="6" t="s">
        <v>222</v>
      </c>
      <c r="G31" s="6" t="s">
        <v>223</v>
      </c>
      <c r="H31" s="6" t="s">
        <v>224</v>
      </c>
      <c r="I31" s="6" t="s">
        <v>216</v>
      </c>
      <c r="J31" s="6" t="s">
        <v>217</v>
      </c>
      <c r="K31" s="6" t="s">
        <v>218</v>
      </c>
      <c r="L31" s="7" t="s">
        <v>51</v>
      </c>
      <c r="M31" s="8" t="str">
        <f t="shared" si="0"/>
        <v/>
      </c>
      <c r="N31" s="7"/>
      <c r="O31" s="7"/>
      <c r="P31" s="7"/>
      <c r="Q31" s="7"/>
      <c r="R31" s="7"/>
      <c r="S31" s="7"/>
      <c r="T31" s="9"/>
      <c r="U31" s="10" t="str">
        <f t="shared" si="1"/>
        <v/>
      </c>
      <c r="V31" s="6" t="s">
        <v>219</v>
      </c>
      <c r="W31" s="6" t="s">
        <v>53</v>
      </c>
      <c r="X31" s="6"/>
    </row>
    <row r="32" spans="1:24" ht="41.4">
      <c r="A32" s="6" t="s">
        <v>225</v>
      </c>
      <c r="B32" s="6" t="s">
        <v>209</v>
      </c>
      <c r="C32" s="6" t="s">
        <v>210</v>
      </c>
      <c r="D32" s="6" t="s">
        <v>211</v>
      </c>
      <c r="E32" s="6" t="s">
        <v>226</v>
      </c>
      <c r="F32" s="6" t="s">
        <v>227</v>
      </c>
      <c r="G32" s="6" t="s">
        <v>228</v>
      </c>
      <c r="H32" s="6" t="s">
        <v>229</v>
      </c>
      <c r="I32" s="6" t="s">
        <v>216</v>
      </c>
      <c r="J32" s="6" t="s">
        <v>217</v>
      </c>
      <c r="K32" s="6" t="s">
        <v>218</v>
      </c>
      <c r="L32" s="7" t="s">
        <v>51</v>
      </c>
      <c r="M32" s="8" t="str">
        <f t="shared" si="0"/>
        <v/>
      </c>
      <c r="N32" s="7"/>
      <c r="O32" s="7"/>
      <c r="P32" s="7"/>
      <c r="Q32" s="7"/>
      <c r="R32" s="7"/>
      <c r="S32" s="7"/>
      <c r="T32" s="9"/>
      <c r="U32" s="10" t="str">
        <f t="shared" si="1"/>
        <v/>
      </c>
      <c r="V32" s="6" t="s">
        <v>219</v>
      </c>
      <c r="W32" s="6" t="s">
        <v>53</v>
      </c>
      <c r="X32" s="6"/>
    </row>
    <row r="33" spans="1:24" ht="41.4">
      <c r="A33" s="6" t="s">
        <v>230</v>
      </c>
      <c r="B33" s="6" t="s">
        <v>209</v>
      </c>
      <c r="C33" s="6" t="s">
        <v>210</v>
      </c>
      <c r="D33" s="6" t="s">
        <v>231</v>
      </c>
      <c r="E33" s="6" t="s">
        <v>232</v>
      </c>
      <c r="F33" s="6" t="s">
        <v>233</v>
      </c>
      <c r="G33" s="6" t="s">
        <v>234</v>
      </c>
      <c r="H33" s="6" t="s">
        <v>235</v>
      </c>
      <c r="I33" s="6" t="s">
        <v>216</v>
      </c>
      <c r="J33" s="6" t="s">
        <v>217</v>
      </c>
      <c r="K33" s="6" t="s">
        <v>218</v>
      </c>
      <c r="L33" s="7" t="s">
        <v>51</v>
      </c>
      <c r="M33" s="8" t="str">
        <f t="shared" si="0"/>
        <v/>
      </c>
      <c r="N33" s="7"/>
      <c r="O33" s="7"/>
      <c r="P33" s="7"/>
      <c r="Q33" s="7"/>
      <c r="R33" s="7"/>
      <c r="S33" s="7"/>
      <c r="T33" s="9"/>
      <c r="U33" s="10" t="str">
        <f t="shared" si="1"/>
        <v/>
      </c>
      <c r="V33" s="6" t="s">
        <v>236</v>
      </c>
      <c r="W33" s="6" t="s">
        <v>53</v>
      </c>
      <c r="X33" s="6"/>
    </row>
    <row r="34" spans="1:24" ht="41.4">
      <c r="A34" s="6" t="s">
        <v>237</v>
      </c>
      <c r="B34" s="6" t="s">
        <v>209</v>
      </c>
      <c r="C34" s="6" t="s">
        <v>210</v>
      </c>
      <c r="D34" s="6" t="s">
        <v>231</v>
      </c>
      <c r="E34" s="6" t="s">
        <v>238</v>
      </c>
      <c r="F34" s="6" t="s">
        <v>239</v>
      </c>
      <c r="G34" s="6" t="s">
        <v>240</v>
      </c>
      <c r="H34" s="6" t="s">
        <v>241</v>
      </c>
      <c r="I34" s="6" t="s">
        <v>216</v>
      </c>
      <c r="J34" s="6" t="s">
        <v>217</v>
      </c>
      <c r="K34" s="6" t="s">
        <v>218</v>
      </c>
      <c r="L34" s="7" t="s">
        <v>51</v>
      </c>
      <c r="M34" s="8" t="str">
        <f t="shared" ref="M34:M65" si="2">IF(L34="Cumple",1,IF(L34="Cumple parcial",0.5,IF(L34="No cumple",0,"")))</f>
        <v/>
      </c>
      <c r="N34" s="7"/>
      <c r="O34" s="7"/>
      <c r="P34" s="7"/>
      <c r="Q34" s="7"/>
      <c r="R34" s="7"/>
      <c r="S34" s="7"/>
      <c r="T34" s="9"/>
      <c r="U34" s="10" t="str">
        <f t="shared" ref="U34:U65" si="3">IF(OR(L34="No cumple",L34="Cumple parcial"),"Sí",IF(L34="Cumple","No",""))</f>
        <v/>
      </c>
      <c r="V34" s="6" t="s">
        <v>236</v>
      </c>
      <c r="W34" s="6" t="s">
        <v>53</v>
      </c>
      <c r="X34" s="6"/>
    </row>
    <row r="35" spans="1:24" ht="41.4">
      <c r="A35" s="6" t="s">
        <v>242</v>
      </c>
      <c r="B35" s="6" t="s">
        <v>209</v>
      </c>
      <c r="C35" s="6" t="s">
        <v>210</v>
      </c>
      <c r="D35" s="6" t="s">
        <v>231</v>
      </c>
      <c r="E35" s="6" t="s">
        <v>243</v>
      </c>
      <c r="F35" s="6" t="s">
        <v>244</v>
      </c>
      <c r="G35" s="6" t="s">
        <v>245</v>
      </c>
      <c r="H35" s="6" t="s">
        <v>246</v>
      </c>
      <c r="I35" s="6" t="s">
        <v>216</v>
      </c>
      <c r="J35" s="6" t="s">
        <v>217</v>
      </c>
      <c r="K35" s="6" t="s">
        <v>218</v>
      </c>
      <c r="L35" s="7" t="s">
        <v>51</v>
      </c>
      <c r="M35" s="8" t="str">
        <f t="shared" si="2"/>
        <v/>
      </c>
      <c r="N35" s="7"/>
      <c r="O35" s="7"/>
      <c r="P35" s="7"/>
      <c r="Q35" s="7"/>
      <c r="R35" s="7"/>
      <c r="S35" s="7"/>
      <c r="T35" s="9"/>
      <c r="U35" s="10" t="str">
        <f t="shared" si="3"/>
        <v/>
      </c>
      <c r="V35" s="6" t="s">
        <v>236</v>
      </c>
      <c r="W35" s="6" t="s">
        <v>53</v>
      </c>
      <c r="X35" s="6"/>
    </row>
    <row r="36" spans="1:24" ht="41.4">
      <c r="A36" s="6" t="s">
        <v>247</v>
      </c>
      <c r="B36" s="6" t="s">
        <v>209</v>
      </c>
      <c r="C36" s="6" t="s">
        <v>210</v>
      </c>
      <c r="D36" s="6" t="s">
        <v>231</v>
      </c>
      <c r="E36" s="6" t="s">
        <v>248</v>
      </c>
      <c r="F36" s="6" t="s">
        <v>249</v>
      </c>
      <c r="G36" s="6" t="s">
        <v>250</v>
      </c>
      <c r="H36" s="6" t="s">
        <v>251</v>
      </c>
      <c r="I36" s="6" t="s">
        <v>216</v>
      </c>
      <c r="J36" s="6" t="s">
        <v>217</v>
      </c>
      <c r="K36" s="6" t="s">
        <v>218</v>
      </c>
      <c r="L36" s="7" t="s">
        <v>51</v>
      </c>
      <c r="M36" s="8" t="str">
        <f t="shared" si="2"/>
        <v/>
      </c>
      <c r="N36" s="7"/>
      <c r="O36" s="7"/>
      <c r="P36" s="7"/>
      <c r="Q36" s="7"/>
      <c r="R36" s="7"/>
      <c r="S36" s="7"/>
      <c r="T36" s="9"/>
      <c r="U36" s="10" t="str">
        <f t="shared" si="3"/>
        <v/>
      </c>
      <c r="V36" s="6" t="s">
        <v>236</v>
      </c>
      <c r="W36" s="6" t="s">
        <v>53</v>
      </c>
      <c r="X36" s="6"/>
    </row>
    <row r="37" spans="1:24" ht="41.4">
      <c r="A37" s="6" t="s">
        <v>252</v>
      </c>
      <c r="B37" s="6" t="s">
        <v>209</v>
      </c>
      <c r="C37" s="6" t="s">
        <v>210</v>
      </c>
      <c r="D37" s="6" t="s">
        <v>231</v>
      </c>
      <c r="E37" s="6" t="s">
        <v>253</v>
      </c>
      <c r="F37" s="6" t="s">
        <v>254</v>
      </c>
      <c r="G37" s="6" t="s">
        <v>255</v>
      </c>
      <c r="H37" s="6" t="s">
        <v>256</v>
      </c>
      <c r="I37" s="6" t="s">
        <v>216</v>
      </c>
      <c r="J37" s="6" t="s">
        <v>217</v>
      </c>
      <c r="K37" s="6" t="s">
        <v>218</v>
      </c>
      <c r="L37" s="7" t="s">
        <v>51</v>
      </c>
      <c r="M37" s="8" t="str">
        <f t="shared" si="2"/>
        <v/>
      </c>
      <c r="N37" s="7"/>
      <c r="O37" s="7"/>
      <c r="P37" s="7"/>
      <c r="Q37" s="7"/>
      <c r="R37" s="7"/>
      <c r="S37" s="7"/>
      <c r="T37" s="9"/>
      <c r="U37" s="10" t="str">
        <f t="shared" si="3"/>
        <v/>
      </c>
      <c r="V37" s="6" t="s">
        <v>236</v>
      </c>
      <c r="W37" s="6" t="s">
        <v>53</v>
      </c>
      <c r="X37" s="6"/>
    </row>
    <row r="38" spans="1:24" ht="41.4">
      <c r="A38" s="6" t="s">
        <v>257</v>
      </c>
      <c r="B38" s="6" t="s">
        <v>209</v>
      </c>
      <c r="C38" s="6" t="s">
        <v>210</v>
      </c>
      <c r="D38" s="6" t="s">
        <v>231</v>
      </c>
      <c r="E38" s="6" t="s">
        <v>258</v>
      </c>
      <c r="F38" s="6" t="s">
        <v>259</v>
      </c>
      <c r="G38" s="6" t="s">
        <v>260</v>
      </c>
      <c r="H38" s="6" t="s">
        <v>261</v>
      </c>
      <c r="I38" s="6" t="s">
        <v>216</v>
      </c>
      <c r="J38" s="6" t="s">
        <v>217</v>
      </c>
      <c r="K38" s="6" t="s">
        <v>218</v>
      </c>
      <c r="L38" s="7" t="s">
        <v>51</v>
      </c>
      <c r="M38" s="8" t="str">
        <f t="shared" si="2"/>
        <v/>
      </c>
      <c r="N38" s="7"/>
      <c r="O38" s="7"/>
      <c r="P38" s="7"/>
      <c r="Q38" s="7"/>
      <c r="R38" s="7"/>
      <c r="S38" s="7"/>
      <c r="T38" s="9"/>
      <c r="U38" s="10" t="str">
        <f t="shared" si="3"/>
        <v/>
      </c>
      <c r="V38" s="6" t="s">
        <v>236</v>
      </c>
      <c r="W38" s="6" t="s">
        <v>53</v>
      </c>
      <c r="X38" s="6"/>
    </row>
    <row r="39" spans="1:24" ht="41.4">
      <c r="A39" s="6" t="s">
        <v>262</v>
      </c>
      <c r="B39" s="6" t="s">
        <v>209</v>
      </c>
      <c r="C39" s="6" t="s">
        <v>210</v>
      </c>
      <c r="D39" s="6" t="s">
        <v>231</v>
      </c>
      <c r="E39" s="6" t="s">
        <v>263</v>
      </c>
      <c r="F39" s="6" t="s">
        <v>264</v>
      </c>
      <c r="G39" s="6" t="s">
        <v>265</v>
      </c>
      <c r="H39" s="6" t="s">
        <v>266</v>
      </c>
      <c r="I39" s="6" t="s">
        <v>216</v>
      </c>
      <c r="J39" s="6" t="s">
        <v>217</v>
      </c>
      <c r="K39" s="6" t="s">
        <v>218</v>
      </c>
      <c r="L39" s="7" t="s">
        <v>51</v>
      </c>
      <c r="M39" s="8" t="str">
        <f t="shared" si="2"/>
        <v/>
      </c>
      <c r="N39" s="7"/>
      <c r="O39" s="7"/>
      <c r="P39" s="7"/>
      <c r="Q39" s="7"/>
      <c r="R39" s="7"/>
      <c r="S39" s="7"/>
      <c r="T39" s="9"/>
      <c r="U39" s="10" t="str">
        <f t="shared" si="3"/>
        <v/>
      </c>
      <c r="V39" s="6" t="s">
        <v>236</v>
      </c>
      <c r="W39" s="6" t="s">
        <v>53</v>
      </c>
      <c r="X39" s="6"/>
    </row>
    <row r="40" spans="1:24" ht="41.4">
      <c r="A40" s="6" t="s">
        <v>267</v>
      </c>
      <c r="B40" s="6" t="s">
        <v>209</v>
      </c>
      <c r="C40" s="6" t="s">
        <v>210</v>
      </c>
      <c r="D40" s="6" t="s">
        <v>231</v>
      </c>
      <c r="E40" s="6" t="s">
        <v>268</v>
      </c>
      <c r="F40" s="6" t="s">
        <v>269</v>
      </c>
      <c r="G40" s="6" t="s">
        <v>270</v>
      </c>
      <c r="H40" s="6" t="s">
        <v>271</v>
      </c>
      <c r="I40" s="6" t="s">
        <v>216</v>
      </c>
      <c r="J40" s="6" t="s">
        <v>217</v>
      </c>
      <c r="K40" s="6" t="s">
        <v>218</v>
      </c>
      <c r="L40" s="7" t="s">
        <v>51</v>
      </c>
      <c r="M40" s="8" t="str">
        <f t="shared" si="2"/>
        <v/>
      </c>
      <c r="N40" s="7"/>
      <c r="O40" s="7"/>
      <c r="P40" s="7"/>
      <c r="Q40" s="7"/>
      <c r="R40" s="7"/>
      <c r="S40" s="7"/>
      <c r="T40" s="9"/>
      <c r="U40" s="10" t="str">
        <f t="shared" si="3"/>
        <v/>
      </c>
      <c r="V40" s="6" t="s">
        <v>236</v>
      </c>
      <c r="W40" s="6" t="s">
        <v>53</v>
      </c>
      <c r="X40" s="6"/>
    </row>
    <row r="41" spans="1:24" ht="41.4">
      <c r="A41" s="6" t="s">
        <v>272</v>
      </c>
      <c r="B41" s="6" t="s">
        <v>209</v>
      </c>
      <c r="C41" s="6" t="s">
        <v>210</v>
      </c>
      <c r="D41" s="6" t="s">
        <v>231</v>
      </c>
      <c r="E41" s="6" t="s">
        <v>273</v>
      </c>
      <c r="F41" s="6" t="s">
        <v>274</v>
      </c>
      <c r="G41" s="6" t="s">
        <v>275</v>
      </c>
      <c r="H41" s="6" t="s">
        <v>276</v>
      </c>
      <c r="I41" s="6" t="s">
        <v>216</v>
      </c>
      <c r="J41" s="6" t="s">
        <v>217</v>
      </c>
      <c r="K41" s="6" t="s">
        <v>218</v>
      </c>
      <c r="L41" s="7" t="s">
        <v>51</v>
      </c>
      <c r="M41" s="8" t="str">
        <f t="shared" si="2"/>
        <v/>
      </c>
      <c r="N41" s="7"/>
      <c r="O41" s="7"/>
      <c r="P41" s="7"/>
      <c r="Q41" s="7"/>
      <c r="R41" s="7"/>
      <c r="S41" s="7"/>
      <c r="T41" s="9"/>
      <c r="U41" s="10" t="str">
        <f t="shared" si="3"/>
        <v/>
      </c>
      <c r="V41" s="6" t="s">
        <v>236</v>
      </c>
      <c r="W41" s="6" t="s">
        <v>53</v>
      </c>
      <c r="X41" s="6"/>
    </row>
    <row r="42" spans="1:24" ht="41.4">
      <c r="A42" s="6" t="s">
        <v>277</v>
      </c>
      <c r="B42" s="6" t="s">
        <v>209</v>
      </c>
      <c r="C42" s="6" t="s">
        <v>210</v>
      </c>
      <c r="D42" s="6" t="s">
        <v>278</v>
      </c>
      <c r="E42" s="6" t="s">
        <v>279</v>
      </c>
      <c r="F42" s="6" t="s">
        <v>280</v>
      </c>
      <c r="G42" s="6" t="s">
        <v>281</v>
      </c>
      <c r="H42" s="6" t="s">
        <v>282</v>
      </c>
      <c r="I42" s="6" t="s">
        <v>216</v>
      </c>
      <c r="J42" s="6" t="s">
        <v>217</v>
      </c>
      <c r="K42" s="6" t="s">
        <v>218</v>
      </c>
      <c r="L42" s="7" t="s">
        <v>51</v>
      </c>
      <c r="M42" s="8" t="str">
        <f t="shared" si="2"/>
        <v/>
      </c>
      <c r="N42" s="7"/>
      <c r="O42" s="7"/>
      <c r="P42" s="7"/>
      <c r="Q42" s="7"/>
      <c r="R42" s="7"/>
      <c r="S42" s="7"/>
      <c r="T42" s="9"/>
      <c r="U42" s="10" t="str">
        <f t="shared" si="3"/>
        <v/>
      </c>
      <c r="V42" s="6" t="s">
        <v>283</v>
      </c>
      <c r="W42" s="6" t="s">
        <v>53</v>
      </c>
      <c r="X42" s="6"/>
    </row>
    <row r="43" spans="1:24" ht="41.4">
      <c r="A43" s="6" t="s">
        <v>284</v>
      </c>
      <c r="B43" s="6" t="s">
        <v>209</v>
      </c>
      <c r="C43" s="6" t="s">
        <v>210</v>
      </c>
      <c r="D43" s="6" t="s">
        <v>278</v>
      </c>
      <c r="E43" s="6" t="s">
        <v>285</v>
      </c>
      <c r="F43" s="6" t="s">
        <v>286</v>
      </c>
      <c r="G43" s="6" t="s">
        <v>287</v>
      </c>
      <c r="H43" s="6" t="s">
        <v>288</v>
      </c>
      <c r="I43" s="6" t="s">
        <v>216</v>
      </c>
      <c r="J43" s="6" t="s">
        <v>217</v>
      </c>
      <c r="K43" s="6" t="s">
        <v>218</v>
      </c>
      <c r="L43" s="7" t="s">
        <v>51</v>
      </c>
      <c r="M43" s="8" t="str">
        <f t="shared" si="2"/>
        <v/>
      </c>
      <c r="N43" s="7"/>
      <c r="O43" s="7"/>
      <c r="P43" s="7"/>
      <c r="Q43" s="7"/>
      <c r="R43" s="7"/>
      <c r="S43" s="7"/>
      <c r="T43" s="9"/>
      <c r="U43" s="10" t="str">
        <f t="shared" si="3"/>
        <v/>
      </c>
      <c r="V43" s="6" t="s">
        <v>283</v>
      </c>
      <c r="W43" s="6" t="s">
        <v>53</v>
      </c>
      <c r="X43" s="6"/>
    </row>
    <row r="44" spans="1:24" ht="41.4">
      <c r="A44" s="6" t="s">
        <v>289</v>
      </c>
      <c r="B44" s="6" t="s">
        <v>209</v>
      </c>
      <c r="C44" s="6" t="s">
        <v>210</v>
      </c>
      <c r="D44" s="6" t="s">
        <v>278</v>
      </c>
      <c r="E44" s="6" t="s">
        <v>290</v>
      </c>
      <c r="F44" s="6" t="s">
        <v>291</v>
      </c>
      <c r="G44" s="6" t="s">
        <v>292</v>
      </c>
      <c r="H44" s="6" t="s">
        <v>293</v>
      </c>
      <c r="I44" s="6" t="s">
        <v>216</v>
      </c>
      <c r="J44" s="6" t="s">
        <v>217</v>
      </c>
      <c r="K44" s="6" t="s">
        <v>218</v>
      </c>
      <c r="L44" s="7" t="s">
        <v>51</v>
      </c>
      <c r="M44" s="8" t="str">
        <f t="shared" si="2"/>
        <v/>
      </c>
      <c r="N44" s="7"/>
      <c r="O44" s="7"/>
      <c r="P44" s="7"/>
      <c r="Q44" s="7"/>
      <c r="R44" s="7"/>
      <c r="S44" s="7"/>
      <c r="T44" s="9"/>
      <c r="U44" s="10" t="str">
        <f t="shared" si="3"/>
        <v/>
      </c>
      <c r="V44" s="6" t="s">
        <v>283</v>
      </c>
      <c r="W44" s="6" t="s">
        <v>53</v>
      </c>
      <c r="X44" s="6"/>
    </row>
    <row r="45" spans="1:24" ht="41.4">
      <c r="A45" s="6" t="s">
        <v>294</v>
      </c>
      <c r="B45" s="6" t="s">
        <v>209</v>
      </c>
      <c r="C45" s="6" t="s">
        <v>210</v>
      </c>
      <c r="D45" s="6" t="s">
        <v>295</v>
      </c>
      <c r="E45" s="6" t="s">
        <v>296</v>
      </c>
      <c r="F45" s="6" t="s">
        <v>297</v>
      </c>
      <c r="G45" s="6" t="s">
        <v>298</v>
      </c>
      <c r="H45" s="6" t="s">
        <v>299</v>
      </c>
      <c r="I45" s="6" t="s">
        <v>216</v>
      </c>
      <c r="J45" s="6" t="s">
        <v>217</v>
      </c>
      <c r="K45" s="6" t="s">
        <v>218</v>
      </c>
      <c r="L45" s="7" t="s">
        <v>51</v>
      </c>
      <c r="M45" s="8" t="str">
        <f t="shared" si="2"/>
        <v/>
      </c>
      <c r="N45" s="7"/>
      <c r="O45" s="7"/>
      <c r="P45" s="7"/>
      <c r="Q45" s="7"/>
      <c r="R45" s="7"/>
      <c r="S45" s="7"/>
      <c r="T45" s="9"/>
      <c r="U45" s="10" t="str">
        <f t="shared" si="3"/>
        <v/>
      </c>
      <c r="V45" s="6" t="s">
        <v>300</v>
      </c>
      <c r="W45" s="6" t="s">
        <v>53</v>
      </c>
      <c r="X45" s="6"/>
    </row>
    <row r="46" spans="1:24" ht="41.4">
      <c r="A46" s="6" t="s">
        <v>301</v>
      </c>
      <c r="B46" s="6" t="s">
        <v>209</v>
      </c>
      <c r="C46" s="6" t="s">
        <v>210</v>
      </c>
      <c r="D46" s="6" t="s">
        <v>295</v>
      </c>
      <c r="E46" s="6" t="s">
        <v>302</v>
      </c>
      <c r="F46" s="6" t="s">
        <v>303</v>
      </c>
      <c r="G46" s="6" t="s">
        <v>304</v>
      </c>
      <c r="H46" s="6" t="s">
        <v>305</v>
      </c>
      <c r="I46" s="6" t="s">
        <v>216</v>
      </c>
      <c r="J46" s="6" t="s">
        <v>217</v>
      </c>
      <c r="K46" s="6" t="s">
        <v>218</v>
      </c>
      <c r="L46" s="7" t="s">
        <v>51</v>
      </c>
      <c r="M46" s="8" t="str">
        <f t="shared" si="2"/>
        <v/>
      </c>
      <c r="N46" s="7"/>
      <c r="O46" s="7"/>
      <c r="P46" s="7"/>
      <c r="Q46" s="7"/>
      <c r="R46" s="7"/>
      <c r="S46" s="7"/>
      <c r="T46" s="9"/>
      <c r="U46" s="10" t="str">
        <f t="shared" si="3"/>
        <v/>
      </c>
      <c r="V46" s="6" t="s">
        <v>300</v>
      </c>
      <c r="W46" s="6" t="s">
        <v>53</v>
      </c>
      <c r="X46" s="6"/>
    </row>
    <row r="47" spans="1:24" ht="41.4">
      <c r="A47" s="6" t="s">
        <v>306</v>
      </c>
      <c r="B47" s="6" t="s">
        <v>209</v>
      </c>
      <c r="C47" s="6" t="s">
        <v>210</v>
      </c>
      <c r="D47" s="6" t="s">
        <v>295</v>
      </c>
      <c r="E47" s="6" t="s">
        <v>307</v>
      </c>
      <c r="F47" s="6" t="s">
        <v>308</v>
      </c>
      <c r="G47" s="6" t="s">
        <v>309</v>
      </c>
      <c r="H47" s="6" t="s">
        <v>310</v>
      </c>
      <c r="I47" s="6" t="s">
        <v>216</v>
      </c>
      <c r="J47" s="6" t="s">
        <v>217</v>
      </c>
      <c r="K47" s="6" t="s">
        <v>218</v>
      </c>
      <c r="L47" s="7" t="s">
        <v>51</v>
      </c>
      <c r="M47" s="8" t="str">
        <f t="shared" si="2"/>
        <v/>
      </c>
      <c r="N47" s="7"/>
      <c r="O47" s="7"/>
      <c r="P47" s="7"/>
      <c r="Q47" s="7"/>
      <c r="R47" s="7"/>
      <c r="S47" s="7"/>
      <c r="T47" s="9"/>
      <c r="U47" s="10" t="str">
        <f t="shared" si="3"/>
        <v/>
      </c>
      <c r="V47" s="6" t="s">
        <v>300</v>
      </c>
      <c r="W47" s="6" t="s">
        <v>53</v>
      </c>
      <c r="X47" s="6"/>
    </row>
    <row r="48" spans="1:24" ht="41.4">
      <c r="A48" s="6" t="s">
        <v>311</v>
      </c>
      <c r="B48" s="6" t="s">
        <v>209</v>
      </c>
      <c r="C48" s="6" t="s">
        <v>210</v>
      </c>
      <c r="D48" s="6" t="s">
        <v>312</v>
      </c>
      <c r="E48" s="6" t="s">
        <v>313</v>
      </c>
      <c r="F48" s="6" t="s">
        <v>314</v>
      </c>
      <c r="G48" s="6" t="s">
        <v>315</v>
      </c>
      <c r="H48" s="6" t="s">
        <v>316</v>
      </c>
      <c r="I48" s="6" t="s">
        <v>216</v>
      </c>
      <c r="J48" s="6" t="s">
        <v>217</v>
      </c>
      <c r="K48" s="6" t="s">
        <v>218</v>
      </c>
      <c r="L48" s="7" t="s">
        <v>51</v>
      </c>
      <c r="M48" s="8" t="str">
        <f t="shared" si="2"/>
        <v/>
      </c>
      <c r="N48" s="7"/>
      <c r="O48" s="7"/>
      <c r="P48" s="7"/>
      <c r="Q48" s="7"/>
      <c r="R48" s="7"/>
      <c r="S48" s="7"/>
      <c r="T48" s="9"/>
      <c r="U48" s="10" t="str">
        <f t="shared" si="3"/>
        <v/>
      </c>
      <c r="V48" s="6" t="s">
        <v>317</v>
      </c>
      <c r="W48" s="6" t="s">
        <v>53</v>
      </c>
      <c r="X48" s="6"/>
    </row>
    <row r="49" spans="1:24" ht="41.4">
      <c r="A49" s="6" t="s">
        <v>318</v>
      </c>
      <c r="B49" s="6" t="s">
        <v>209</v>
      </c>
      <c r="C49" s="6" t="s">
        <v>210</v>
      </c>
      <c r="D49" s="6" t="s">
        <v>312</v>
      </c>
      <c r="E49" s="6" t="s">
        <v>319</v>
      </c>
      <c r="F49" s="6" t="s">
        <v>320</v>
      </c>
      <c r="G49" s="6" t="s">
        <v>321</v>
      </c>
      <c r="H49" s="6" t="s">
        <v>322</v>
      </c>
      <c r="I49" s="6" t="s">
        <v>216</v>
      </c>
      <c r="J49" s="6" t="s">
        <v>217</v>
      </c>
      <c r="K49" s="6" t="s">
        <v>218</v>
      </c>
      <c r="L49" s="7" t="s">
        <v>51</v>
      </c>
      <c r="M49" s="8" t="str">
        <f t="shared" si="2"/>
        <v/>
      </c>
      <c r="N49" s="7"/>
      <c r="O49" s="7"/>
      <c r="P49" s="7"/>
      <c r="Q49" s="7"/>
      <c r="R49" s="7"/>
      <c r="S49" s="7"/>
      <c r="T49" s="9"/>
      <c r="U49" s="10" t="str">
        <f t="shared" si="3"/>
        <v/>
      </c>
      <c r="V49" s="6" t="s">
        <v>317</v>
      </c>
      <c r="W49" s="6" t="s">
        <v>53</v>
      </c>
      <c r="X49" s="6"/>
    </row>
    <row r="50" spans="1:24" ht="41.4">
      <c r="A50" s="6" t="s">
        <v>323</v>
      </c>
      <c r="B50" s="6" t="s">
        <v>209</v>
      </c>
      <c r="C50" s="6" t="s">
        <v>210</v>
      </c>
      <c r="D50" s="6" t="s">
        <v>312</v>
      </c>
      <c r="E50" s="6" t="s">
        <v>324</v>
      </c>
      <c r="F50" s="6" t="s">
        <v>325</v>
      </c>
      <c r="G50" s="6" t="s">
        <v>326</v>
      </c>
      <c r="H50" s="6" t="s">
        <v>327</v>
      </c>
      <c r="I50" s="6" t="s">
        <v>216</v>
      </c>
      <c r="J50" s="6" t="s">
        <v>217</v>
      </c>
      <c r="K50" s="6" t="s">
        <v>218</v>
      </c>
      <c r="L50" s="7" t="s">
        <v>51</v>
      </c>
      <c r="M50" s="8" t="str">
        <f t="shared" si="2"/>
        <v/>
      </c>
      <c r="N50" s="7"/>
      <c r="O50" s="7"/>
      <c r="P50" s="7"/>
      <c r="Q50" s="7"/>
      <c r="R50" s="7"/>
      <c r="S50" s="7"/>
      <c r="T50" s="9"/>
      <c r="U50" s="10" t="str">
        <f t="shared" si="3"/>
        <v/>
      </c>
      <c r="V50" s="6" t="s">
        <v>317</v>
      </c>
      <c r="W50" s="6" t="s">
        <v>53</v>
      </c>
      <c r="X50" s="6"/>
    </row>
    <row r="51" spans="1:24" ht="41.4">
      <c r="A51" s="6" t="s">
        <v>328</v>
      </c>
      <c r="B51" s="6" t="s">
        <v>209</v>
      </c>
      <c r="C51" s="6" t="s">
        <v>210</v>
      </c>
      <c r="D51" s="6" t="s">
        <v>312</v>
      </c>
      <c r="E51" s="6" t="s">
        <v>329</v>
      </c>
      <c r="F51" s="6" t="s">
        <v>330</v>
      </c>
      <c r="G51" s="6" t="s">
        <v>331</v>
      </c>
      <c r="H51" s="6" t="s">
        <v>332</v>
      </c>
      <c r="I51" s="6" t="s">
        <v>216</v>
      </c>
      <c r="J51" s="6" t="s">
        <v>217</v>
      </c>
      <c r="K51" s="6" t="s">
        <v>218</v>
      </c>
      <c r="L51" s="7" t="s">
        <v>51</v>
      </c>
      <c r="M51" s="8" t="str">
        <f t="shared" si="2"/>
        <v/>
      </c>
      <c r="N51" s="7"/>
      <c r="O51" s="7"/>
      <c r="P51" s="7"/>
      <c r="Q51" s="7"/>
      <c r="R51" s="7"/>
      <c r="S51" s="7"/>
      <c r="T51" s="9"/>
      <c r="U51" s="10" t="str">
        <f t="shared" si="3"/>
        <v/>
      </c>
      <c r="V51" s="6" t="s">
        <v>317</v>
      </c>
      <c r="W51" s="6" t="s">
        <v>53</v>
      </c>
      <c r="X51" s="6"/>
    </row>
    <row r="52" spans="1:24" ht="41.4">
      <c r="A52" s="6" t="s">
        <v>333</v>
      </c>
      <c r="B52" s="6" t="s">
        <v>209</v>
      </c>
      <c r="C52" s="6" t="s">
        <v>210</v>
      </c>
      <c r="D52" s="6" t="s">
        <v>334</v>
      </c>
      <c r="E52" s="6" t="s">
        <v>335</v>
      </c>
      <c r="F52" s="6" t="s">
        <v>336</v>
      </c>
      <c r="G52" s="6" t="s">
        <v>337</v>
      </c>
      <c r="H52" s="6" t="s">
        <v>338</v>
      </c>
      <c r="I52" s="6" t="s">
        <v>216</v>
      </c>
      <c r="J52" s="6" t="s">
        <v>217</v>
      </c>
      <c r="K52" s="6" t="s">
        <v>218</v>
      </c>
      <c r="L52" s="7" t="s">
        <v>51</v>
      </c>
      <c r="M52" s="8" t="str">
        <f t="shared" si="2"/>
        <v/>
      </c>
      <c r="N52" s="7"/>
      <c r="O52" s="7"/>
      <c r="P52" s="7"/>
      <c r="Q52" s="7"/>
      <c r="R52" s="7"/>
      <c r="S52" s="7"/>
      <c r="T52" s="9"/>
      <c r="U52" s="10" t="str">
        <f t="shared" si="3"/>
        <v/>
      </c>
      <c r="V52" s="6" t="s">
        <v>339</v>
      </c>
      <c r="W52" s="6" t="s">
        <v>53</v>
      </c>
      <c r="X52" s="6"/>
    </row>
    <row r="53" spans="1:24" ht="41.4">
      <c r="A53" s="6" t="s">
        <v>340</v>
      </c>
      <c r="B53" s="6" t="s">
        <v>209</v>
      </c>
      <c r="C53" s="6" t="s">
        <v>210</v>
      </c>
      <c r="D53" s="6" t="s">
        <v>334</v>
      </c>
      <c r="E53" s="6" t="s">
        <v>341</v>
      </c>
      <c r="F53" s="6" t="s">
        <v>342</v>
      </c>
      <c r="G53" s="6" t="s">
        <v>343</v>
      </c>
      <c r="H53" s="6" t="s">
        <v>344</v>
      </c>
      <c r="I53" s="6" t="s">
        <v>216</v>
      </c>
      <c r="J53" s="6" t="s">
        <v>217</v>
      </c>
      <c r="K53" s="6" t="s">
        <v>218</v>
      </c>
      <c r="L53" s="7" t="s">
        <v>51</v>
      </c>
      <c r="M53" s="8" t="str">
        <f t="shared" si="2"/>
        <v/>
      </c>
      <c r="N53" s="7"/>
      <c r="O53" s="7"/>
      <c r="P53" s="7"/>
      <c r="Q53" s="7"/>
      <c r="R53" s="7"/>
      <c r="S53" s="7"/>
      <c r="T53" s="9"/>
      <c r="U53" s="10" t="str">
        <f t="shared" si="3"/>
        <v/>
      </c>
      <c r="V53" s="6" t="s">
        <v>339</v>
      </c>
      <c r="W53" s="6" t="s">
        <v>53</v>
      </c>
      <c r="X53" s="6"/>
    </row>
    <row r="54" spans="1:24" ht="41.4">
      <c r="A54" s="6" t="s">
        <v>345</v>
      </c>
      <c r="B54" s="6" t="s">
        <v>209</v>
      </c>
      <c r="C54" s="6" t="s">
        <v>210</v>
      </c>
      <c r="D54" s="6" t="s">
        <v>334</v>
      </c>
      <c r="E54" s="6" t="s">
        <v>346</v>
      </c>
      <c r="F54" s="6" t="s">
        <v>347</v>
      </c>
      <c r="G54" s="6" t="s">
        <v>348</v>
      </c>
      <c r="H54" s="6" t="s">
        <v>349</v>
      </c>
      <c r="I54" s="6" t="s">
        <v>216</v>
      </c>
      <c r="J54" s="6" t="s">
        <v>217</v>
      </c>
      <c r="K54" s="6" t="s">
        <v>218</v>
      </c>
      <c r="L54" s="7" t="s">
        <v>51</v>
      </c>
      <c r="M54" s="8" t="str">
        <f t="shared" si="2"/>
        <v/>
      </c>
      <c r="N54" s="7"/>
      <c r="O54" s="7"/>
      <c r="P54" s="7"/>
      <c r="Q54" s="7"/>
      <c r="R54" s="7"/>
      <c r="S54" s="7"/>
      <c r="T54" s="9"/>
      <c r="U54" s="10" t="str">
        <f t="shared" si="3"/>
        <v/>
      </c>
      <c r="V54" s="6" t="s">
        <v>339</v>
      </c>
      <c r="W54" s="6" t="s">
        <v>53</v>
      </c>
      <c r="X54" s="6"/>
    </row>
    <row r="55" spans="1:24" ht="41.4">
      <c r="A55" s="6" t="s">
        <v>350</v>
      </c>
      <c r="B55" s="6" t="s">
        <v>209</v>
      </c>
      <c r="C55" s="6" t="s">
        <v>210</v>
      </c>
      <c r="D55" s="6" t="s">
        <v>351</v>
      </c>
      <c r="E55" s="6" t="s">
        <v>352</v>
      </c>
      <c r="F55" s="6" t="s">
        <v>353</v>
      </c>
      <c r="G55" s="6" t="s">
        <v>354</v>
      </c>
      <c r="H55" s="6" t="s">
        <v>355</v>
      </c>
      <c r="I55" s="6" t="s">
        <v>216</v>
      </c>
      <c r="J55" s="6" t="s">
        <v>217</v>
      </c>
      <c r="K55" s="6" t="s">
        <v>218</v>
      </c>
      <c r="L55" s="7" t="s">
        <v>51</v>
      </c>
      <c r="M55" s="8" t="str">
        <f t="shared" si="2"/>
        <v/>
      </c>
      <c r="N55" s="7"/>
      <c r="O55" s="7"/>
      <c r="P55" s="7"/>
      <c r="Q55" s="7"/>
      <c r="R55" s="7"/>
      <c r="S55" s="7"/>
      <c r="T55" s="9"/>
      <c r="U55" s="10" t="str">
        <f t="shared" si="3"/>
        <v/>
      </c>
      <c r="V55" s="6" t="s">
        <v>356</v>
      </c>
      <c r="W55" s="6" t="s">
        <v>53</v>
      </c>
      <c r="X55" s="6"/>
    </row>
    <row r="56" spans="1:24" ht="41.4">
      <c r="A56" s="6" t="s">
        <v>357</v>
      </c>
      <c r="B56" s="6" t="s">
        <v>209</v>
      </c>
      <c r="C56" s="6" t="s">
        <v>210</v>
      </c>
      <c r="D56" s="6" t="s">
        <v>351</v>
      </c>
      <c r="E56" s="6" t="s">
        <v>358</v>
      </c>
      <c r="F56" s="6" t="s">
        <v>359</v>
      </c>
      <c r="G56" s="6" t="s">
        <v>360</v>
      </c>
      <c r="H56" s="6" t="s">
        <v>361</v>
      </c>
      <c r="I56" s="6" t="s">
        <v>216</v>
      </c>
      <c r="J56" s="6" t="s">
        <v>217</v>
      </c>
      <c r="K56" s="6" t="s">
        <v>218</v>
      </c>
      <c r="L56" s="7" t="s">
        <v>51</v>
      </c>
      <c r="M56" s="8" t="str">
        <f t="shared" si="2"/>
        <v/>
      </c>
      <c r="N56" s="7"/>
      <c r="O56" s="7"/>
      <c r="P56" s="7"/>
      <c r="Q56" s="7"/>
      <c r="R56" s="7"/>
      <c r="S56" s="7"/>
      <c r="T56" s="9"/>
      <c r="U56" s="10" t="str">
        <f t="shared" si="3"/>
        <v/>
      </c>
      <c r="V56" s="6" t="s">
        <v>356</v>
      </c>
      <c r="W56" s="6" t="s">
        <v>53</v>
      </c>
      <c r="X56" s="6"/>
    </row>
    <row r="57" spans="1:24" ht="41.4">
      <c r="A57" s="6" t="s">
        <v>362</v>
      </c>
      <c r="B57" s="6" t="s">
        <v>209</v>
      </c>
      <c r="C57" s="6" t="s">
        <v>210</v>
      </c>
      <c r="D57" s="6" t="s">
        <v>351</v>
      </c>
      <c r="E57" s="6" t="s">
        <v>363</v>
      </c>
      <c r="F57" s="6" t="s">
        <v>364</v>
      </c>
      <c r="G57" s="6" t="s">
        <v>365</v>
      </c>
      <c r="H57" s="6" t="s">
        <v>366</v>
      </c>
      <c r="I57" s="6" t="s">
        <v>216</v>
      </c>
      <c r="J57" s="6" t="s">
        <v>217</v>
      </c>
      <c r="K57" s="6" t="s">
        <v>218</v>
      </c>
      <c r="L57" s="7" t="s">
        <v>51</v>
      </c>
      <c r="M57" s="8" t="str">
        <f t="shared" si="2"/>
        <v/>
      </c>
      <c r="N57" s="7"/>
      <c r="O57" s="7"/>
      <c r="P57" s="7"/>
      <c r="Q57" s="7"/>
      <c r="R57" s="7"/>
      <c r="S57" s="7"/>
      <c r="T57" s="9"/>
      <c r="U57" s="10" t="str">
        <f t="shared" si="3"/>
        <v/>
      </c>
      <c r="V57" s="6" t="s">
        <v>356</v>
      </c>
      <c r="W57" s="6" t="s">
        <v>53</v>
      </c>
      <c r="X57" s="6"/>
    </row>
    <row r="58" spans="1:24" ht="41.4">
      <c r="A58" s="6" t="s">
        <v>367</v>
      </c>
      <c r="B58" s="6" t="s">
        <v>209</v>
      </c>
      <c r="C58" s="6" t="s">
        <v>210</v>
      </c>
      <c r="D58" s="6" t="s">
        <v>351</v>
      </c>
      <c r="E58" s="6" t="s">
        <v>368</v>
      </c>
      <c r="F58" s="6" t="s">
        <v>369</v>
      </c>
      <c r="G58" s="6" t="s">
        <v>370</v>
      </c>
      <c r="H58" s="6" t="s">
        <v>371</v>
      </c>
      <c r="I58" s="6" t="s">
        <v>216</v>
      </c>
      <c r="J58" s="6" t="s">
        <v>217</v>
      </c>
      <c r="K58" s="6" t="s">
        <v>218</v>
      </c>
      <c r="L58" s="7" t="s">
        <v>51</v>
      </c>
      <c r="M58" s="8" t="str">
        <f t="shared" si="2"/>
        <v/>
      </c>
      <c r="N58" s="7"/>
      <c r="O58" s="7"/>
      <c r="P58" s="7"/>
      <c r="Q58" s="7"/>
      <c r="R58" s="7"/>
      <c r="S58" s="7"/>
      <c r="T58" s="9"/>
      <c r="U58" s="10" t="str">
        <f t="shared" si="3"/>
        <v/>
      </c>
      <c r="V58" s="6" t="s">
        <v>356</v>
      </c>
      <c r="W58" s="6" t="s">
        <v>53</v>
      </c>
      <c r="X58" s="6"/>
    </row>
    <row r="59" spans="1:24" ht="41.4">
      <c r="A59" s="6" t="s">
        <v>372</v>
      </c>
      <c r="B59" s="6" t="s">
        <v>209</v>
      </c>
      <c r="C59" s="6" t="s">
        <v>210</v>
      </c>
      <c r="D59" s="6" t="s">
        <v>373</v>
      </c>
      <c r="E59" s="6" t="s">
        <v>374</v>
      </c>
      <c r="F59" s="6" t="s">
        <v>375</v>
      </c>
      <c r="G59" s="6" t="s">
        <v>376</v>
      </c>
      <c r="H59" s="6" t="s">
        <v>377</v>
      </c>
      <c r="I59" s="6" t="s">
        <v>216</v>
      </c>
      <c r="J59" s="6" t="s">
        <v>217</v>
      </c>
      <c r="K59" s="6" t="s">
        <v>218</v>
      </c>
      <c r="L59" s="7" t="s">
        <v>51</v>
      </c>
      <c r="M59" s="8" t="str">
        <f t="shared" si="2"/>
        <v/>
      </c>
      <c r="N59" s="7"/>
      <c r="O59" s="7"/>
      <c r="P59" s="7"/>
      <c r="Q59" s="7"/>
      <c r="R59" s="7"/>
      <c r="S59" s="7"/>
      <c r="T59" s="9"/>
      <c r="U59" s="10" t="str">
        <f t="shared" si="3"/>
        <v/>
      </c>
      <c r="V59" s="6" t="s">
        <v>378</v>
      </c>
      <c r="W59" s="6" t="s">
        <v>53</v>
      </c>
      <c r="X59" s="6"/>
    </row>
    <row r="60" spans="1:24" ht="41.4">
      <c r="A60" s="6" t="s">
        <v>379</v>
      </c>
      <c r="B60" s="6" t="s">
        <v>209</v>
      </c>
      <c r="C60" s="6" t="s">
        <v>210</v>
      </c>
      <c r="D60" s="6" t="s">
        <v>373</v>
      </c>
      <c r="E60" s="6" t="s">
        <v>380</v>
      </c>
      <c r="F60" s="6" t="s">
        <v>381</v>
      </c>
      <c r="G60" s="6" t="s">
        <v>382</v>
      </c>
      <c r="H60" s="6" t="s">
        <v>383</v>
      </c>
      <c r="I60" s="6" t="s">
        <v>216</v>
      </c>
      <c r="J60" s="6" t="s">
        <v>217</v>
      </c>
      <c r="K60" s="6" t="s">
        <v>218</v>
      </c>
      <c r="L60" s="7" t="s">
        <v>51</v>
      </c>
      <c r="M60" s="8" t="str">
        <f t="shared" si="2"/>
        <v/>
      </c>
      <c r="N60" s="7"/>
      <c r="O60" s="7"/>
      <c r="P60" s="7"/>
      <c r="Q60" s="7"/>
      <c r="R60" s="7"/>
      <c r="S60" s="7"/>
      <c r="T60" s="9"/>
      <c r="U60" s="10" t="str">
        <f t="shared" si="3"/>
        <v/>
      </c>
      <c r="V60" s="6" t="s">
        <v>378</v>
      </c>
      <c r="W60" s="6" t="s">
        <v>53</v>
      </c>
      <c r="X60" s="6"/>
    </row>
    <row r="61" spans="1:24" ht="41.4">
      <c r="A61" s="6" t="s">
        <v>384</v>
      </c>
      <c r="B61" s="6" t="s">
        <v>209</v>
      </c>
      <c r="C61" s="6" t="s">
        <v>210</v>
      </c>
      <c r="D61" s="6" t="s">
        <v>373</v>
      </c>
      <c r="E61" s="6" t="s">
        <v>385</v>
      </c>
      <c r="F61" s="6" t="s">
        <v>386</v>
      </c>
      <c r="G61" s="6" t="s">
        <v>387</v>
      </c>
      <c r="H61" s="6" t="s">
        <v>388</v>
      </c>
      <c r="I61" s="6" t="s">
        <v>216</v>
      </c>
      <c r="J61" s="6" t="s">
        <v>217</v>
      </c>
      <c r="K61" s="6" t="s">
        <v>218</v>
      </c>
      <c r="L61" s="7" t="s">
        <v>51</v>
      </c>
      <c r="M61" s="8" t="str">
        <f t="shared" si="2"/>
        <v/>
      </c>
      <c r="N61" s="7"/>
      <c r="O61" s="7"/>
      <c r="P61" s="7"/>
      <c r="Q61" s="7"/>
      <c r="R61" s="7"/>
      <c r="S61" s="7"/>
      <c r="T61" s="9"/>
      <c r="U61" s="10" t="str">
        <f t="shared" si="3"/>
        <v/>
      </c>
      <c r="V61" s="6" t="s">
        <v>378</v>
      </c>
      <c r="W61" s="6" t="s">
        <v>53</v>
      </c>
      <c r="X61" s="6"/>
    </row>
    <row r="62" spans="1:24" ht="41.4">
      <c r="A62" s="6" t="s">
        <v>389</v>
      </c>
      <c r="B62" s="6" t="s">
        <v>390</v>
      </c>
      <c r="C62" s="6" t="s">
        <v>391</v>
      </c>
      <c r="D62" s="6" t="s">
        <v>392</v>
      </c>
      <c r="E62" s="6" t="s">
        <v>393</v>
      </c>
      <c r="F62" s="6" t="s">
        <v>394</v>
      </c>
      <c r="G62" s="6" t="s">
        <v>395</v>
      </c>
      <c r="H62" s="6" t="s">
        <v>396</v>
      </c>
      <c r="I62" s="6" t="s">
        <v>397</v>
      </c>
      <c r="J62" s="6" t="s">
        <v>49</v>
      </c>
      <c r="K62" s="6" t="s">
        <v>398</v>
      </c>
      <c r="L62" s="7" t="s">
        <v>51</v>
      </c>
      <c r="M62" s="8" t="str">
        <f t="shared" si="2"/>
        <v/>
      </c>
      <c r="N62" s="7"/>
      <c r="O62" s="7"/>
      <c r="P62" s="7"/>
      <c r="Q62" s="7"/>
      <c r="R62" s="7"/>
      <c r="S62" s="7"/>
      <c r="T62" s="9"/>
      <c r="U62" s="10" t="str">
        <f t="shared" si="3"/>
        <v/>
      </c>
      <c r="V62" s="6" t="s">
        <v>399</v>
      </c>
      <c r="W62" s="6" t="s">
        <v>53</v>
      </c>
      <c r="X62" s="6"/>
    </row>
    <row r="63" spans="1:24" ht="41.4">
      <c r="A63" s="6" t="s">
        <v>400</v>
      </c>
      <c r="B63" s="6" t="s">
        <v>390</v>
      </c>
      <c r="C63" s="6" t="s">
        <v>391</v>
      </c>
      <c r="D63" s="6" t="s">
        <v>401</v>
      </c>
      <c r="E63" s="6" t="s">
        <v>402</v>
      </c>
      <c r="F63" s="6" t="s">
        <v>403</v>
      </c>
      <c r="G63" s="6" t="s">
        <v>404</v>
      </c>
      <c r="H63" s="6" t="s">
        <v>405</v>
      </c>
      <c r="I63" s="6" t="s">
        <v>397</v>
      </c>
      <c r="J63" s="6" t="s">
        <v>49</v>
      </c>
      <c r="K63" s="6" t="s">
        <v>398</v>
      </c>
      <c r="L63" s="7" t="s">
        <v>51</v>
      </c>
      <c r="M63" s="8" t="str">
        <f t="shared" si="2"/>
        <v/>
      </c>
      <c r="N63" s="7"/>
      <c r="O63" s="7"/>
      <c r="P63" s="7"/>
      <c r="Q63" s="7"/>
      <c r="R63" s="7"/>
      <c r="S63" s="7"/>
      <c r="T63" s="9"/>
      <c r="U63" s="10" t="str">
        <f t="shared" si="3"/>
        <v/>
      </c>
      <c r="V63" s="6" t="s">
        <v>406</v>
      </c>
      <c r="W63" s="6" t="s">
        <v>53</v>
      </c>
      <c r="X63" s="6"/>
    </row>
    <row r="64" spans="1:24" ht="41.4">
      <c r="A64" s="6" t="s">
        <v>407</v>
      </c>
      <c r="B64" s="6" t="s">
        <v>390</v>
      </c>
      <c r="C64" s="6" t="s">
        <v>391</v>
      </c>
      <c r="D64" s="6" t="s">
        <v>401</v>
      </c>
      <c r="E64" s="6" t="s">
        <v>408</v>
      </c>
      <c r="F64" s="6" t="s">
        <v>409</v>
      </c>
      <c r="G64" s="6" t="s">
        <v>410</v>
      </c>
      <c r="H64" s="6" t="s">
        <v>411</v>
      </c>
      <c r="I64" s="6" t="s">
        <v>397</v>
      </c>
      <c r="J64" s="6" t="s">
        <v>49</v>
      </c>
      <c r="K64" s="6" t="s">
        <v>398</v>
      </c>
      <c r="L64" s="7" t="s">
        <v>51</v>
      </c>
      <c r="M64" s="8" t="str">
        <f t="shared" si="2"/>
        <v/>
      </c>
      <c r="N64" s="7"/>
      <c r="O64" s="7"/>
      <c r="P64" s="7"/>
      <c r="Q64" s="7"/>
      <c r="R64" s="7"/>
      <c r="S64" s="7"/>
      <c r="T64" s="9"/>
      <c r="U64" s="10" t="str">
        <f t="shared" si="3"/>
        <v/>
      </c>
      <c r="V64" s="6" t="s">
        <v>406</v>
      </c>
      <c r="W64" s="6" t="s">
        <v>53</v>
      </c>
      <c r="X64" s="6"/>
    </row>
    <row r="65" spans="1:24" ht="41.4">
      <c r="A65" s="6" t="s">
        <v>412</v>
      </c>
      <c r="B65" s="6" t="s">
        <v>390</v>
      </c>
      <c r="C65" s="6" t="s">
        <v>391</v>
      </c>
      <c r="D65" s="6" t="s">
        <v>401</v>
      </c>
      <c r="E65" s="6" t="s">
        <v>413</v>
      </c>
      <c r="F65" s="6" t="s">
        <v>414</v>
      </c>
      <c r="G65" s="6" t="s">
        <v>415</v>
      </c>
      <c r="H65" s="6" t="s">
        <v>416</v>
      </c>
      <c r="I65" s="6" t="s">
        <v>397</v>
      </c>
      <c r="J65" s="6" t="s">
        <v>49</v>
      </c>
      <c r="K65" s="6" t="s">
        <v>398</v>
      </c>
      <c r="L65" s="7" t="s">
        <v>51</v>
      </c>
      <c r="M65" s="8" t="str">
        <f t="shared" si="2"/>
        <v/>
      </c>
      <c r="N65" s="7"/>
      <c r="O65" s="7"/>
      <c r="P65" s="7"/>
      <c r="Q65" s="7"/>
      <c r="R65" s="7"/>
      <c r="S65" s="7"/>
      <c r="T65" s="9"/>
      <c r="U65" s="10" t="str">
        <f t="shared" si="3"/>
        <v/>
      </c>
      <c r="V65" s="6" t="s">
        <v>406</v>
      </c>
      <c r="W65" s="6" t="s">
        <v>53</v>
      </c>
      <c r="X65" s="6"/>
    </row>
    <row r="66" spans="1:24" ht="41.4">
      <c r="A66" s="6" t="s">
        <v>417</v>
      </c>
      <c r="B66" s="6" t="s">
        <v>390</v>
      </c>
      <c r="C66" s="6" t="s">
        <v>391</v>
      </c>
      <c r="D66" s="6" t="s">
        <v>401</v>
      </c>
      <c r="E66" s="6" t="s">
        <v>418</v>
      </c>
      <c r="F66" s="6" t="s">
        <v>419</v>
      </c>
      <c r="G66" s="6" t="s">
        <v>420</v>
      </c>
      <c r="H66" s="6" t="s">
        <v>421</v>
      </c>
      <c r="I66" s="6" t="s">
        <v>397</v>
      </c>
      <c r="J66" s="6" t="s">
        <v>49</v>
      </c>
      <c r="K66" s="6" t="s">
        <v>398</v>
      </c>
      <c r="L66" s="7" t="s">
        <v>51</v>
      </c>
      <c r="M66" s="8" t="str">
        <f t="shared" ref="M66:M97" si="4">IF(L66="Cumple",1,IF(L66="Cumple parcial",0.5,IF(L66="No cumple",0,"")))</f>
        <v/>
      </c>
      <c r="N66" s="7"/>
      <c r="O66" s="7"/>
      <c r="P66" s="7"/>
      <c r="Q66" s="7"/>
      <c r="R66" s="7"/>
      <c r="S66" s="7"/>
      <c r="T66" s="9"/>
      <c r="U66" s="10" t="str">
        <f t="shared" ref="U66:U97" si="5">IF(OR(L66="No cumple",L66="Cumple parcial"),"Sí",IF(L66="Cumple","No",""))</f>
        <v/>
      </c>
      <c r="V66" s="6" t="s">
        <v>406</v>
      </c>
      <c r="W66" s="6" t="s">
        <v>53</v>
      </c>
      <c r="X66" s="6"/>
    </row>
    <row r="67" spans="1:24" ht="41.4">
      <c r="A67" s="6" t="s">
        <v>422</v>
      </c>
      <c r="B67" s="6" t="s">
        <v>390</v>
      </c>
      <c r="C67" s="6" t="s">
        <v>391</v>
      </c>
      <c r="D67" s="6" t="s">
        <v>423</v>
      </c>
      <c r="E67" s="6" t="s">
        <v>424</v>
      </c>
      <c r="F67" s="6" t="s">
        <v>425</v>
      </c>
      <c r="G67" s="6" t="s">
        <v>426</v>
      </c>
      <c r="H67" s="6" t="s">
        <v>427</v>
      </c>
      <c r="I67" s="6" t="s">
        <v>397</v>
      </c>
      <c r="J67" s="6" t="s">
        <v>49</v>
      </c>
      <c r="K67" s="6" t="s">
        <v>398</v>
      </c>
      <c r="L67" s="7" t="s">
        <v>51</v>
      </c>
      <c r="M67" s="8" t="str">
        <f t="shared" si="4"/>
        <v/>
      </c>
      <c r="N67" s="7"/>
      <c r="O67" s="7"/>
      <c r="P67" s="7"/>
      <c r="Q67" s="7"/>
      <c r="R67" s="7"/>
      <c r="S67" s="7"/>
      <c r="T67" s="9"/>
      <c r="U67" s="10" t="str">
        <f t="shared" si="5"/>
        <v/>
      </c>
      <c r="V67" s="6" t="s">
        <v>428</v>
      </c>
      <c r="W67" s="6" t="s">
        <v>53</v>
      </c>
      <c r="X67" s="6"/>
    </row>
    <row r="68" spans="1:24" ht="41.4">
      <c r="A68" s="6" t="s">
        <v>429</v>
      </c>
      <c r="B68" s="6" t="s">
        <v>390</v>
      </c>
      <c r="C68" s="6" t="s">
        <v>391</v>
      </c>
      <c r="D68" s="6" t="s">
        <v>423</v>
      </c>
      <c r="E68" s="6" t="s">
        <v>430</v>
      </c>
      <c r="F68" s="6" t="s">
        <v>431</v>
      </c>
      <c r="G68" s="6" t="s">
        <v>432</v>
      </c>
      <c r="H68" s="6" t="s">
        <v>433</v>
      </c>
      <c r="I68" s="6" t="s">
        <v>397</v>
      </c>
      <c r="J68" s="6" t="s">
        <v>49</v>
      </c>
      <c r="K68" s="6" t="s">
        <v>398</v>
      </c>
      <c r="L68" s="7" t="s">
        <v>51</v>
      </c>
      <c r="M68" s="8" t="str">
        <f t="shared" si="4"/>
        <v/>
      </c>
      <c r="N68" s="7"/>
      <c r="O68" s="7"/>
      <c r="P68" s="7"/>
      <c r="Q68" s="7"/>
      <c r="R68" s="7"/>
      <c r="S68" s="7"/>
      <c r="T68" s="9"/>
      <c r="U68" s="10" t="str">
        <f t="shared" si="5"/>
        <v/>
      </c>
      <c r="V68" s="6" t="s">
        <v>428</v>
      </c>
      <c r="W68" s="6" t="s">
        <v>53</v>
      </c>
      <c r="X68" s="6"/>
    </row>
    <row r="69" spans="1:24" ht="41.4">
      <c r="A69" s="6" t="s">
        <v>434</v>
      </c>
      <c r="B69" s="6" t="s">
        <v>390</v>
      </c>
      <c r="C69" s="6" t="s">
        <v>391</v>
      </c>
      <c r="D69" s="6" t="s">
        <v>423</v>
      </c>
      <c r="E69" s="6" t="s">
        <v>435</v>
      </c>
      <c r="F69" s="6" t="s">
        <v>436</v>
      </c>
      <c r="G69" s="6" t="s">
        <v>437</v>
      </c>
      <c r="H69" s="6" t="s">
        <v>438</v>
      </c>
      <c r="I69" s="6" t="s">
        <v>397</v>
      </c>
      <c r="J69" s="6" t="s">
        <v>49</v>
      </c>
      <c r="K69" s="6" t="s">
        <v>398</v>
      </c>
      <c r="L69" s="7" t="s">
        <v>51</v>
      </c>
      <c r="M69" s="8" t="str">
        <f t="shared" si="4"/>
        <v/>
      </c>
      <c r="N69" s="7"/>
      <c r="O69" s="7"/>
      <c r="P69" s="7"/>
      <c r="Q69" s="7"/>
      <c r="R69" s="7"/>
      <c r="S69" s="7"/>
      <c r="T69" s="9"/>
      <c r="U69" s="10" t="str">
        <f t="shared" si="5"/>
        <v/>
      </c>
      <c r="V69" s="6" t="s">
        <v>428</v>
      </c>
      <c r="W69" s="6" t="s">
        <v>53</v>
      </c>
      <c r="X69" s="6"/>
    </row>
    <row r="70" spans="1:24" ht="41.4">
      <c r="A70" s="6" t="s">
        <v>439</v>
      </c>
      <c r="B70" s="6" t="s">
        <v>390</v>
      </c>
      <c r="C70" s="6" t="s">
        <v>391</v>
      </c>
      <c r="D70" s="6" t="s">
        <v>423</v>
      </c>
      <c r="E70" s="6" t="s">
        <v>440</v>
      </c>
      <c r="F70" s="6" t="s">
        <v>441</v>
      </c>
      <c r="G70" s="6" t="s">
        <v>442</v>
      </c>
      <c r="H70" s="6" t="s">
        <v>443</v>
      </c>
      <c r="I70" s="6" t="s">
        <v>397</v>
      </c>
      <c r="J70" s="6" t="s">
        <v>49</v>
      </c>
      <c r="K70" s="6" t="s">
        <v>398</v>
      </c>
      <c r="L70" s="7" t="s">
        <v>51</v>
      </c>
      <c r="M70" s="8" t="str">
        <f t="shared" si="4"/>
        <v/>
      </c>
      <c r="N70" s="7"/>
      <c r="O70" s="7"/>
      <c r="P70" s="7"/>
      <c r="Q70" s="7"/>
      <c r="R70" s="7"/>
      <c r="S70" s="7"/>
      <c r="T70" s="9"/>
      <c r="U70" s="10" t="str">
        <f t="shared" si="5"/>
        <v/>
      </c>
      <c r="V70" s="6" t="s">
        <v>428</v>
      </c>
      <c r="W70" s="6" t="s">
        <v>53</v>
      </c>
      <c r="X70" s="6"/>
    </row>
    <row r="71" spans="1:24" ht="41.4">
      <c r="A71" s="6" t="s">
        <v>444</v>
      </c>
      <c r="B71" s="6" t="s">
        <v>390</v>
      </c>
      <c r="C71" s="6" t="s">
        <v>391</v>
      </c>
      <c r="D71" s="6" t="s">
        <v>423</v>
      </c>
      <c r="E71" s="6" t="s">
        <v>445</v>
      </c>
      <c r="F71" s="6" t="s">
        <v>446</v>
      </c>
      <c r="G71" s="6" t="s">
        <v>447</v>
      </c>
      <c r="H71" s="6" t="s">
        <v>448</v>
      </c>
      <c r="I71" s="6" t="s">
        <v>397</v>
      </c>
      <c r="J71" s="6" t="s">
        <v>49</v>
      </c>
      <c r="K71" s="6" t="s">
        <v>398</v>
      </c>
      <c r="L71" s="7" t="s">
        <v>51</v>
      </c>
      <c r="M71" s="8" t="str">
        <f t="shared" si="4"/>
        <v/>
      </c>
      <c r="N71" s="7"/>
      <c r="O71" s="7"/>
      <c r="P71" s="7"/>
      <c r="Q71" s="7"/>
      <c r="R71" s="7"/>
      <c r="S71" s="7"/>
      <c r="T71" s="9"/>
      <c r="U71" s="10" t="str">
        <f t="shared" si="5"/>
        <v/>
      </c>
      <c r="V71" s="6" t="s">
        <v>428</v>
      </c>
      <c r="W71" s="6" t="s">
        <v>53</v>
      </c>
      <c r="X71" s="6"/>
    </row>
    <row r="72" spans="1:24" ht="41.4">
      <c r="A72" s="6" t="s">
        <v>449</v>
      </c>
      <c r="B72" s="6" t="s">
        <v>390</v>
      </c>
      <c r="C72" s="6" t="s">
        <v>391</v>
      </c>
      <c r="D72" s="6" t="s">
        <v>450</v>
      </c>
      <c r="E72" s="6" t="s">
        <v>451</v>
      </c>
      <c r="F72" s="6" t="s">
        <v>452</v>
      </c>
      <c r="G72" s="6" t="s">
        <v>453</v>
      </c>
      <c r="H72" s="6" t="s">
        <v>454</v>
      </c>
      <c r="I72" s="6" t="s">
        <v>397</v>
      </c>
      <c r="J72" s="6" t="s">
        <v>49</v>
      </c>
      <c r="K72" s="6" t="s">
        <v>398</v>
      </c>
      <c r="L72" s="7" t="s">
        <v>51</v>
      </c>
      <c r="M72" s="8" t="str">
        <f t="shared" si="4"/>
        <v/>
      </c>
      <c r="N72" s="7"/>
      <c r="O72" s="7"/>
      <c r="P72" s="7"/>
      <c r="Q72" s="7"/>
      <c r="R72" s="7"/>
      <c r="S72" s="7"/>
      <c r="T72" s="9"/>
      <c r="U72" s="10" t="str">
        <f t="shared" si="5"/>
        <v/>
      </c>
      <c r="V72" s="6" t="s">
        <v>455</v>
      </c>
      <c r="W72" s="6" t="s">
        <v>53</v>
      </c>
      <c r="X72" s="6"/>
    </row>
    <row r="73" spans="1:24" ht="41.4">
      <c r="A73" s="6" t="s">
        <v>456</v>
      </c>
      <c r="B73" s="6" t="s">
        <v>390</v>
      </c>
      <c r="C73" s="6" t="s">
        <v>391</v>
      </c>
      <c r="D73" s="6" t="s">
        <v>450</v>
      </c>
      <c r="E73" s="6" t="s">
        <v>457</v>
      </c>
      <c r="F73" s="6" t="s">
        <v>458</v>
      </c>
      <c r="G73" s="6" t="s">
        <v>459</v>
      </c>
      <c r="H73" s="6" t="s">
        <v>460</v>
      </c>
      <c r="I73" s="6" t="s">
        <v>397</v>
      </c>
      <c r="J73" s="6" t="s">
        <v>49</v>
      </c>
      <c r="K73" s="6" t="s">
        <v>398</v>
      </c>
      <c r="L73" s="7" t="s">
        <v>51</v>
      </c>
      <c r="M73" s="8" t="str">
        <f t="shared" si="4"/>
        <v/>
      </c>
      <c r="N73" s="7"/>
      <c r="O73" s="7"/>
      <c r="P73" s="7"/>
      <c r="Q73" s="7"/>
      <c r="R73" s="7"/>
      <c r="S73" s="7"/>
      <c r="T73" s="9"/>
      <c r="U73" s="10" t="str">
        <f t="shared" si="5"/>
        <v/>
      </c>
      <c r="V73" s="6" t="s">
        <v>455</v>
      </c>
      <c r="W73" s="6" t="s">
        <v>53</v>
      </c>
      <c r="X73" s="6"/>
    </row>
    <row r="74" spans="1:24" ht="41.4">
      <c r="A74" s="6" t="s">
        <v>461</v>
      </c>
      <c r="B74" s="6" t="s">
        <v>390</v>
      </c>
      <c r="C74" s="6" t="s">
        <v>391</v>
      </c>
      <c r="D74" s="6" t="s">
        <v>450</v>
      </c>
      <c r="E74" s="6" t="s">
        <v>462</v>
      </c>
      <c r="F74" s="6" t="s">
        <v>463</v>
      </c>
      <c r="G74" s="6" t="s">
        <v>464</v>
      </c>
      <c r="H74" s="6" t="s">
        <v>465</v>
      </c>
      <c r="I74" s="6" t="s">
        <v>397</v>
      </c>
      <c r="J74" s="6" t="s">
        <v>49</v>
      </c>
      <c r="K74" s="6" t="s">
        <v>398</v>
      </c>
      <c r="L74" s="7" t="s">
        <v>51</v>
      </c>
      <c r="M74" s="8" t="str">
        <f t="shared" si="4"/>
        <v/>
      </c>
      <c r="N74" s="7"/>
      <c r="O74" s="7"/>
      <c r="P74" s="7"/>
      <c r="Q74" s="7"/>
      <c r="R74" s="7"/>
      <c r="S74" s="7"/>
      <c r="T74" s="9"/>
      <c r="U74" s="10" t="str">
        <f t="shared" si="5"/>
        <v/>
      </c>
      <c r="V74" s="6" t="s">
        <v>455</v>
      </c>
      <c r="W74" s="6" t="s">
        <v>53</v>
      </c>
      <c r="X74" s="6"/>
    </row>
    <row r="75" spans="1:24" ht="41.4">
      <c r="A75" s="6" t="s">
        <v>466</v>
      </c>
      <c r="B75" s="6" t="s">
        <v>390</v>
      </c>
      <c r="C75" s="6" t="s">
        <v>391</v>
      </c>
      <c r="D75" s="6" t="s">
        <v>450</v>
      </c>
      <c r="E75" s="6" t="s">
        <v>467</v>
      </c>
      <c r="F75" s="6" t="s">
        <v>468</v>
      </c>
      <c r="G75" s="6" t="s">
        <v>469</v>
      </c>
      <c r="H75" s="6" t="s">
        <v>470</v>
      </c>
      <c r="I75" s="6" t="s">
        <v>397</v>
      </c>
      <c r="J75" s="6" t="s">
        <v>49</v>
      </c>
      <c r="K75" s="6" t="s">
        <v>398</v>
      </c>
      <c r="L75" s="7" t="s">
        <v>51</v>
      </c>
      <c r="M75" s="8" t="str">
        <f t="shared" si="4"/>
        <v/>
      </c>
      <c r="N75" s="7"/>
      <c r="O75" s="7"/>
      <c r="P75" s="7"/>
      <c r="Q75" s="7"/>
      <c r="R75" s="7"/>
      <c r="S75" s="7"/>
      <c r="T75" s="9"/>
      <c r="U75" s="10" t="str">
        <f t="shared" si="5"/>
        <v/>
      </c>
      <c r="V75" s="6" t="s">
        <v>455</v>
      </c>
      <c r="W75" s="6" t="s">
        <v>53</v>
      </c>
      <c r="X75" s="6"/>
    </row>
    <row r="76" spans="1:24" ht="41.4">
      <c r="A76" s="6" t="s">
        <v>471</v>
      </c>
      <c r="B76" s="6" t="s">
        <v>390</v>
      </c>
      <c r="C76" s="6" t="s">
        <v>391</v>
      </c>
      <c r="D76" s="6" t="s">
        <v>472</v>
      </c>
      <c r="E76" s="6" t="s">
        <v>473</v>
      </c>
      <c r="F76" s="6" t="s">
        <v>474</v>
      </c>
      <c r="G76" s="6" t="s">
        <v>475</v>
      </c>
      <c r="H76" s="6" t="s">
        <v>476</v>
      </c>
      <c r="I76" s="6" t="s">
        <v>397</v>
      </c>
      <c r="J76" s="6" t="s">
        <v>49</v>
      </c>
      <c r="K76" s="6" t="s">
        <v>398</v>
      </c>
      <c r="L76" s="7" t="s">
        <v>51</v>
      </c>
      <c r="M76" s="8" t="str">
        <f t="shared" si="4"/>
        <v/>
      </c>
      <c r="N76" s="7"/>
      <c r="O76" s="7"/>
      <c r="P76" s="7"/>
      <c r="Q76" s="7"/>
      <c r="R76" s="7"/>
      <c r="S76" s="7"/>
      <c r="T76" s="9"/>
      <c r="U76" s="10" t="str">
        <f t="shared" si="5"/>
        <v/>
      </c>
      <c r="V76" s="6" t="s">
        <v>477</v>
      </c>
      <c r="W76" s="6" t="s">
        <v>53</v>
      </c>
      <c r="X76" s="6"/>
    </row>
    <row r="77" spans="1:24" ht="41.4">
      <c r="A77" s="6" t="s">
        <v>478</v>
      </c>
      <c r="B77" s="6" t="s">
        <v>390</v>
      </c>
      <c r="C77" s="6" t="s">
        <v>391</v>
      </c>
      <c r="D77" s="6" t="s">
        <v>472</v>
      </c>
      <c r="E77" s="6" t="s">
        <v>479</v>
      </c>
      <c r="F77" s="6" t="s">
        <v>480</v>
      </c>
      <c r="G77" s="6" t="s">
        <v>481</v>
      </c>
      <c r="H77" s="6" t="s">
        <v>482</v>
      </c>
      <c r="I77" s="6" t="s">
        <v>397</v>
      </c>
      <c r="J77" s="6" t="s">
        <v>49</v>
      </c>
      <c r="K77" s="6" t="s">
        <v>398</v>
      </c>
      <c r="L77" s="7" t="s">
        <v>51</v>
      </c>
      <c r="M77" s="8" t="str">
        <f t="shared" si="4"/>
        <v/>
      </c>
      <c r="N77" s="7"/>
      <c r="O77" s="7"/>
      <c r="P77" s="7"/>
      <c r="Q77" s="7"/>
      <c r="R77" s="7"/>
      <c r="S77" s="7"/>
      <c r="T77" s="9"/>
      <c r="U77" s="10" t="str">
        <f t="shared" si="5"/>
        <v/>
      </c>
      <c r="V77" s="6" t="s">
        <v>477</v>
      </c>
      <c r="W77" s="6" t="s">
        <v>53</v>
      </c>
      <c r="X77" s="6"/>
    </row>
    <row r="78" spans="1:24" ht="41.4">
      <c r="A78" s="6" t="s">
        <v>483</v>
      </c>
      <c r="B78" s="6" t="s">
        <v>390</v>
      </c>
      <c r="C78" s="6" t="s">
        <v>391</v>
      </c>
      <c r="D78" s="6" t="s">
        <v>484</v>
      </c>
      <c r="E78" s="6" t="s">
        <v>485</v>
      </c>
      <c r="F78" s="6" t="s">
        <v>486</v>
      </c>
      <c r="G78" s="6" t="s">
        <v>487</v>
      </c>
      <c r="H78" s="6" t="s">
        <v>488</v>
      </c>
      <c r="I78" s="6" t="s">
        <v>397</v>
      </c>
      <c r="J78" s="6" t="s">
        <v>49</v>
      </c>
      <c r="K78" s="6" t="s">
        <v>398</v>
      </c>
      <c r="L78" s="7" t="s">
        <v>51</v>
      </c>
      <c r="M78" s="8" t="str">
        <f t="shared" si="4"/>
        <v/>
      </c>
      <c r="N78" s="7"/>
      <c r="O78" s="7"/>
      <c r="P78" s="7"/>
      <c r="Q78" s="7"/>
      <c r="R78" s="7"/>
      <c r="S78" s="7"/>
      <c r="T78" s="9"/>
      <c r="U78" s="10" t="str">
        <f t="shared" si="5"/>
        <v/>
      </c>
      <c r="V78" s="6" t="s">
        <v>489</v>
      </c>
      <c r="W78" s="6" t="s">
        <v>53</v>
      </c>
      <c r="X78" s="6"/>
    </row>
    <row r="79" spans="1:24" ht="41.4">
      <c r="A79" s="6" t="s">
        <v>490</v>
      </c>
      <c r="B79" s="6" t="s">
        <v>390</v>
      </c>
      <c r="C79" s="6" t="s">
        <v>391</v>
      </c>
      <c r="D79" s="6" t="s">
        <v>491</v>
      </c>
      <c r="E79" s="6" t="s">
        <v>492</v>
      </c>
      <c r="F79" s="6" t="s">
        <v>493</v>
      </c>
      <c r="G79" s="6" t="s">
        <v>494</v>
      </c>
      <c r="H79" s="6" t="s">
        <v>495</v>
      </c>
      <c r="I79" s="6" t="s">
        <v>397</v>
      </c>
      <c r="J79" s="6" t="s">
        <v>49</v>
      </c>
      <c r="K79" s="6" t="s">
        <v>398</v>
      </c>
      <c r="L79" s="7" t="s">
        <v>51</v>
      </c>
      <c r="M79" s="8" t="str">
        <f t="shared" si="4"/>
        <v/>
      </c>
      <c r="N79" s="7"/>
      <c r="O79" s="7"/>
      <c r="P79" s="7"/>
      <c r="Q79" s="7"/>
      <c r="R79" s="7"/>
      <c r="S79" s="7"/>
      <c r="T79" s="9"/>
      <c r="U79" s="10" t="str">
        <f t="shared" si="5"/>
        <v/>
      </c>
      <c r="V79" s="6" t="s">
        <v>496</v>
      </c>
      <c r="W79" s="6" t="s">
        <v>53</v>
      </c>
      <c r="X79" s="6"/>
    </row>
    <row r="80" spans="1:24" ht="41.4">
      <c r="A80" s="6" t="s">
        <v>497</v>
      </c>
      <c r="B80" s="6" t="s">
        <v>390</v>
      </c>
      <c r="C80" s="6" t="s">
        <v>391</v>
      </c>
      <c r="D80" s="6" t="s">
        <v>491</v>
      </c>
      <c r="E80" s="6" t="s">
        <v>498</v>
      </c>
      <c r="F80" s="6" t="s">
        <v>499</v>
      </c>
      <c r="G80" s="6" t="s">
        <v>500</v>
      </c>
      <c r="H80" s="6" t="s">
        <v>501</v>
      </c>
      <c r="I80" s="6" t="s">
        <v>397</v>
      </c>
      <c r="J80" s="6" t="s">
        <v>49</v>
      </c>
      <c r="K80" s="6" t="s">
        <v>398</v>
      </c>
      <c r="L80" s="7" t="s">
        <v>51</v>
      </c>
      <c r="M80" s="8" t="str">
        <f t="shared" si="4"/>
        <v/>
      </c>
      <c r="N80" s="7"/>
      <c r="O80" s="7"/>
      <c r="P80" s="7"/>
      <c r="Q80" s="7"/>
      <c r="R80" s="7"/>
      <c r="S80" s="7"/>
      <c r="T80" s="9"/>
      <c r="U80" s="10" t="str">
        <f t="shared" si="5"/>
        <v/>
      </c>
      <c r="V80" s="6" t="s">
        <v>496</v>
      </c>
      <c r="W80" s="6" t="s">
        <v>53</v>
      </c>
      <c r="X80" s="6"/>
    </row>
    <row r="81" spans="1:24" ht="41.4">
      <c r="A81" s="6" t="s">
        <v>502</v>
      </c>
      <c r="B81" s="6" t="s">
        <v>390</v>
      </c>
      <c r="C81" s="6" t="s">
        <v>391</v>
      </c>
      <c r="D81" s="6" t="s">
        <v>503</v>
      </c>
      <c r="E81" s="6" t="s">
        <v>504</v>
      </c>
      <c r="F81" s="6" t="s">
        <v>505</v>
      </c>
      <c r="G81" s="6" t="s">
        <v>506</v>
      </c>
      <c r="H81" s="6" t="s">
        <v>507</v>
      </c>
      <c r="I81" s="6" t="s">
        <v>397</v>
      </c>
      <c r="J81" s="6" t="s">
        <v>49</v>
      </c>
      <c r="K81" s="6" t="s">
        <v>398</v>
      </c>
      <c r="L81" s="7" t="s">
        <v>51</v>
      </c>
      <c r="M81" s="8" t="str">
        <f t="shared" si="4"/>
        <v/>
      </c>
      <c r="N81" s="7"/>
      <c r="O81" s="7"/>
      <c r="P81" s="7"/>
      <c r="Q81" s="7"/>
      <c r="R81" s="7"/>
      <c r="S81" s="7"/>
      <c r="T81" s="9"/>
      <c r="U81" s="10" t="str">
        <f t="shared" si="5"/>
        <v/>
      </c>
      <c r="V81" s="6" t="s">
        <v>508</v>
      </c>
      <c r="W81" s="6" t="s">
        <v>53</v>
      </c>
      <c r="X81" s="6"/>
    </row>
    <row r="82" spans="1:24" ht="41.4">
      <c r="A82" s="6" t="s">
        <v>509</v>
      </c>
      <c r="B82" s="6" t="s">
        <v>390</v>
      </c>
      <c r="C82" s="6" t="s">
        <v>391</v>
      </c>
      <c r="D82" s="6" t="s">
        <v>510</v>
      </c>
      <c r="E82" s="6" t="s">
        <v>511</v>
      </c>
      <c r="F82" s="6" t="s">
        <v>512</v>
      </c>
      <c r="G82" s="6" t="s">
        <v>513</v>
      </c>
      <c r="H82" s="6" t="s">
        <v>514</v>
      </c>
      <c r="I82" s="6" t="s">
        <v>397</v>
      </c>
      <c r="J82" s="6" t="s">
        <v>49</v>
      </c>
      <c r="K82" s="6" t="s">
        <v>398</v>
      </c>
      <c r="L82" s="7" t="s">
        <v>51</v>
      </c>
      <c r="M82" s="8" t="str">
        <f t="shared" si="4"/>
        <v/>
      </c>
      <c r="N82" s="7"/>
      <c r="O82" s="7"/>
      <c r="P82" s="7"/>
      <c r="Q82" s="7"/>
      <c r="R82" s="7"/>
      <c r="S82" s="7"/>
      <c r="T82" s="9"/>
      <c r="U82" s="10" t="str">
        <f t="shared" si="5"/>
        <v/>
      </c>
      <c r="V82" s="6" t="s">
        <v>515</v>
      </c>
      <c r="W82" s="6" t="s">
        <v>53</v>
      </c>
      <c r="X82" s="6"/>
    </row>
    <row r="83" spans="1:24" ht="41.4">
      <c r="A83" s="6" t="s">
        <v>516</v>
      </c>
      <c r="B83" s="6" t="s">
        <v>390</v>
      </c>
      <c r="C83" s="6" t="s">
        <v>391</v>
      </c>
      <c r="D83" s="6" t="s">
        <v>510</v>
      </c>
      <c r="E83" s="6" t="s">
        <v>517</v>
      </c>
      <c r="F83" s="6" t="s">
        <v>518</v>
      </c>
      <c r="G83" s="6" t="s">
        <v>519</v>
      </c>
      <c r="H83" s="6" t="s">
        <v>520</v>
      </c>
      <c r="I83" s="6" t="s">
        <v>397</v>
      </c>
      <c r="J83" s="6" t="s">
        <v>49</v>
      </c>
      <c r="K83" s="6" t="s">
        <v>398</v>
      </c>
      <c r="L83" s="7" t="s">
        <v>51</v>
      </c>
      <c r="M83" s="8" t="str">
        <f t="shared" si="4"/>
        <v/>
      </c>
      <c r="N83" s="7"/>
      <c r="O83" s="7"/>
      <c r="P83" s="7"/>
      <c r="Q83" s="7"/>
      <c r="R83" s="7"/>
      <c r="S83" s="7"/>
      <c r="T83" s="9"/>
      <c r="U83" s="10" t="str">
        <f t="shared" si="5"/>
        <v/>
      </c>
      <c r="V83" s="6" t="s">
        <v>515</v>
      </c>
      <c r="W83" s="6" t="s">
        <v>53</v>
      </c>
      <c r="X83" s="6"/>
    </row>
    <row r="84" spans="1:24" ht="41.4">
      <c r="A84" s="6" t="s">
        <v>521</v>
      </c>
      <c r="B84" s="6" t="s">
        <v>390</v>
      </c>
      <c r="C84" s="6" t="s">
        <v>391</v>
      </c>
      <c r="D84" s="6" t="s">
        <v>510</v>
      </c>
      <c r="E84" s="6" t="s">
        <v>522</v>
      </c>
      <c r="F84" s="6" t="s">
        <v>523</v>
      </c>
      <c r="G84" s="6" t="s">
        <v>524</v>
      </c>
      <c r="H84" s="6" t="s">
        <v>525</v>
      </c>
      <c r="I84" s="6" t="s">
        <v>397</v>
      </c>
      <c r="J84" s="6" t="s">
        <v>49</v>
      </c>
      <c r="K84" s="6" t="s">
        <v>398</v>
      </c>
      <c r="L84" s="7" t="s">
        <v>51</v>
      </c>
      <c r="M84" s="8" t="str">
        <f t="shared" si="4"/>
        <v/>
      </c>
      <c r="N84" s="7"/>
      <c r="O84" s="7"/>
      <c r="P84" s="7"/>
      <c r="Q84" s="7"/>
      <c r="R84" s="7"/>
      <c r="S84" s="7"/>
      <c r="T84" s="9"/>
      <c r="U84" s="10" t="str">
        <f t="shared" si="5"/>
        <v/>
      </c>
      <c r="V84" s="6" t="s">
        <v>515</v>
      </c>
      <c r="W84" s="6" t="s">
        <v>53</v>
      </c>
      <c r="X84" s="6"/>
    </row>
    <row r="85" spans="1:24" ht="41.4">
      <c r="A85" s="6" t="s">
        <v>526</v>
      </c>
      <c r="B85" s="6" t="s">
        <v>390</v>
      </c>
      <c r="C85" s="6" t="s">
        <v>527</v>
      </c>
      <c r="D85" s="6" t="s">
        <v>528</v>
      </c>
      <c r="E85" s="6" t="s">
        <v>529</v>
      </c>
      <c r="F85" s="6" t="s">
        <v>530</v>
      </c>
      <c r="G85" s="6" t="s">
        <v>531</v>
      </c>
      <c r="H85" s="6" t="s">
        <v>532</v>
      </c>
      <c r="I85" s="6" t="s">
        <v>533</v>
      </c>
      <c r="J85" s="6" t="s">
        <v>534</v>
      </c>
      <c r="K85" s="6" t="s">
        <v>535</v>
      </c>
      <c r="L85" s="7" t="s">
        <v>51</v>
      </c>
      <c r="M85" s="8" t="str">
        <f t="shared" si="4"/>
        <v/>
      </c>
      <c r="N85" s="7"/>
      <c r="O85" s="7"/>
      <c r="P85" s="7"/>
      <c r="Q85" s="7"/>
      <c r="R85" s="7"/>
      <c r="S85" s="7"/>
      <c r="T85" s="9"/>
      <c r="U85" s="10" t="str">
        <f t="shared" si="5"/>
        <v/>
      </c>
      <c r="V85" s="6" t="s">
        <v>536</v>
      </c>
      <c r="W85" s="6" t="s">
        <v>53</v>
      </c>
      <c r="X85" s="6"/>
    </row>
    <row r="86" spans="1:24" ht="41.4">
      <c r="A86" s="6" t="s">
        <v>537</v>
      </c>
      <c r="B86" s="6" t="s">
        <v>390</v>
      </c>
      <c r="C86" s="6" t="s">
        <v>527</v>
      </c>
      <c r="D86" s="6" t="s">
        <v>528</v>
      </c>
      <c r="E86" s="6" t="s">
        <v>538</v>
      </c>
      <c r="F86" s="6" t="s">
        <v>539</v>
      </c>
      <c r="G86" s="6" t="s">
        <v>540</v>
      </c>
      <c r="H86" s="6" t="s">
        <v>541</v>
      </c>
      <c r="I86" s="6" t="s">
        <v>533</v>
      </c>
      <c r="J86" s="6" t="s">
        <v>534</v>
      </c>
      <c r="K86" s="6" t="s">
        <v>535</v>
      </c>
      <c r="L86" s="7" t="s">
        <v>51</v>
      </c>
      <c r="M86" s="8" t="str">
        <f t="shared" si="4"/>
        <v/>
      </c>
      <c r="N86" s="7"/>
      <c r="O86" s="7"/>
      <c r="P86" s="7"/>
      <c r="Q86" s="7"/>
      <c r="R86" s="7"/>
      <c r="S86" s="7"/>
      <c r="T86" s="9"/>
      <c r="U86" s="10" t="str">
        <f t="shared" si="5"/>
        <v/>
      </c>
      <c r="V86" s="6" t="s">
        <v>536</v>
      </c>
      <c r="W86" s="6" t="s">
        <v>53</v>
      </c>
      <c r="X86" s="6"/>
    </row>
    <row r="87" spans="1:24" ht="41.4">
      <c r="A87" s="6" t="s">
        <v>542</v>
      </c>
      <c r="B87" s="6" t="s">
        <v>390</v>
      </c>
      <c r="C87" s="6" t="s">
        <v>527</v>
      </c>
      <c r="D87" s="6" t="s">
        <v>528</v>
      </c>
      <c r="E87" s="6" t="s">
        <v>543</v>
      </c>
      <c r="F87" s="6" t="s">
        <v>544</v>
      </c>
      <c r="G87" s="6" t="s">
        <v>545</v>
      </c>
      <c r="H87" s="6" t="s">
        <v>546</v>
      </c>
      <c r="I87" s="6" t="s">
        <v>533</v>
      </c>
      <c r="J87" s="6" t="s">
        <v>534</v>
      </c>
      <c r="K87" s="6" t="s">
        <v>535</v>
      </c>
      <c r="L87" s="7" t="s">
        <v>51</v>
      </c>
      <c r="M87" s="8" t="str">
        <f t="shared" si="4"/>
        <v/>
      </c>
      <c r="N87" s="7"/>
      <c r="O87" s="7"/>
      <c r="P87" s="7"/>
      <c r="Q87" s="7"/>
      <c r="R87" s="7"/>
      <c r="S87" s="7"/>
      <c r="T87" s="9"/>
      <c r="U87" s="10" t="str">
        <f t="shared" si="5"/>
        <v/>
      </c>
      <c r="V87" s="6" t="s">
        <v>536</v>
      </c>
      <c r="W87" s="6" t="s">
        <v>53</v>
      </c>
      <c r="X87" s="6"/>
    </row>
    <row r="88" spans="1:24" ht="41.4">
      <c r="A88" s="6" t="s">
        <v>547</v>
      </c>
      <c r="B88" s="6" t="s">
        <v>390</v>
      </c>
      <c r="C88" s="6" t="s">
        <v>527</v>
      </c>
      <c r="D88" s="6" t="s">
        <v>528</v>
      </c>
      <c r="E88" s="6" t="s">
        <v>548</v>
      </c>
      <c r="F88" s="6" t="s">
        <v>549</v>
      </c>
      <c r="G88" s="6" t="s">
        <v>550</v>
      </c>
      <c r="H88" s="6" t="s">
        <v>551</v>
      </c>
      <c r="I88" s="6" t="s">
        <v>533</v>
      </c>
      <c r="J88" s="6" t="s">
        <v>534</v>
      </c>
      <c r="K88" s="6" t="s">
        <v>535</v>
      </c>
      <c r="L88" s="7" t="s">
        <v>51</v>
      </c>
      <c r="M88" s="8" t="str">
        <f t="shared" si="4"/>
        <v/>
      </c>
      <c r="N88" s="7"/>
      <c r="O88" s="7"/>
      <c r="P88" s="7"/>
      <c r="Q88" s="7"/>
      <c r="R88" s="7"/>
      <c r="S88" s="7"/>
      <c r="T88" s="9"/>
      <c r="U88" s="10" t="str">
        <f t="shared" si="5"/>
        <v/>
      </c>
      <c r="V88" s="6" t="s">
        <v>536</v>
      </c>
      <c r="W88" s="6" t="s">
        <v>53</v>
      </c>
      <c r="X88" s="6"/>
    </row>
    <row r="89" spans="1:24" ht="41.4">
      <c r="A89" s="6" t="s">
        <v>552</v>
      </c>
      <c r="B89" s="6" t="s">
        <v>390</v>
      </c>
      <c r="C89" s="6" t="s">
        <v>527</v>
      </c>
      <c r="D89" s="6" t="s">
        <v>553</v>
      </c>
      <c r="E89" s="6" t="s">
        <v>554</v>
      </c>
      <c r="F89" s="6" t="s">
        <v>555</v>
      </c>
      <c r="G89" s="6" t="s">
        <v>556</v>
      </c>
      <c r="H89" s="6" t="s">
        <v>557</v>
      </c>
      <c r="I89" s="6" t="s">
        <v>533</v>
      </c>
      <c r="J89" s="6" t="s">
        <v>534</v>
      </c>
      <c r="K89" s="6" t="s">
        <v>535</v>
      </c>
      <c r="L89" s="7" t="s">
        <v>51</v>
      </c>
      <c r="M89" s="8" t="str">
        <f t="shared" si="4"/>
        <v/>
      </c>
      <c r="N89" s="7"/>
      <c r="O89" s="7"/>
      <c r="P89" s="7"/>
      <c r="Q89" s="7"/>
      <c r="R89" s="7"/>
      <c r="S89" s="7"/>
      <c r="T89" s="9"/>
      <c r="U89" s="10" t="str">
        <f t="shared" si="5"/>
        <v/>
      </c>
      <c r="V89" s="6" t="s">
        <v>558</v>
      </c>
      <c r="W89" s="6" t="s">
        <v>53</v>
      </c>
      <c r="X89" s="6"/>
    </row>
    <row r="90" spans="1:24" ht="41.4">
      <c r="A90" s="6" t="s">
        <v>559</v>
      </c>
      <c r="B90" s="6" t="s">
        <v>390</v>
      </c>
      <c r="C90" s="6" t="s">
        <v>527</v>
      </c>
      <c r="D90" s="6" t="s">
        <v>553</v>
      </c>
      <c r="E90" s="6" t="s">
        <v>560</v>
      </c>
      <c r="F90" s="6" t="s">
        <v>561</v>
      </c>
      <c r="G90" s="6" t="s">
        <v>562</v>
      </c>
      <c r="H90" s="6" t="s">
        <v>563</v>
      </c>
      <c r="I90" s="6" t="s">
        <v>533</v>
      </c>
      <c r="J90" s="6" t="s">
        <v>534</v>
      </c>
      <c r="K90" s="6" t="s">
        <v>535</v>
      </c>
      <c r="L90" s="7" t="s">
        <v>51</v>
      </c>
      <c r="M90" s="8" t="str">
        <f t="shared" si="4"/>
        <v/>
      </c>
      <c r="N90" s="7"/>
      <c r="O90" s="7"/>
      <c r="P90" s="7"/>
      <c r="Q90" s="7"/>
      <c r="R90" s="7"/>
      <c r="S90" s="7"/>
      <c r="T90" s="9"/>
      <c r="U90" s="10" t="str">
        <f t="shared" si="5"/>
        <v/>
      </c>
      <c r="V90" s="6" t="s">
        <v>558</v>
      </c>
      <c r="W90" s="6" t="s">
        <v>53</v>
      </c>
      <c r="X90" s="6"/>
    </row>
    <row r="91" spans="1:24" ht="41.4">
      <c r="A91" s="6" t="s">
        <v>564</v>
      </c>
      <c r="B91" s="6" t="s">
        <v>390</v>
      </c>
      <c r="C91" s="6" t="s">
        <v>527</v>
      </c>
      <c r="D91" s="6" t="s">
        <v>553</v>
      </c>
      <c r="E91" s="6" t="s">
        <v>565</v>
      </c>
      <c r="F91" s="6" t="s">
        <v>566</v>
      </c>
      <c r="G91" s="6" t="s">
        <v>567</v>
      </c>
      <c r="H91" s="6" t="s">
        <v>568</v>
      </c>
      <c r="I91" s="6" t="s">
        <v>533</v>
      </c>
      <c r="J91" s="6" t="s">
        <v>534</v>
      </c>
      <c r="K91" s="6" t="s">
        <v>535</v>
      </c>
      <c r="L91" s="7" t="s">
        <v>51</v>
      </c>
      <c r="M91" s="8" t="str">
        <f t="shared" si="4"/>
        <v/>
      </c>
      <c r="N91" s="7"/>
      <c r="O91" s="7"/>
      <c r="P91" s="7"/>
      <c r="Q91" s="7"/>
      <c r="R91" s="7"/>
      <c r="S91" s="7"/>
      <c r="T91" s="9"/>
      <c r="U91" s="10" t="str">
        <f t="shared" si="5"/>
        <v/>
      </c>
      <c r="V91" s="6" t="s">
        <v>558</v>
      </c>
      <c r="W91" s="6" t="s">
        <v>53</v>
      </c>
      <c r="X91" s="6"/>
    </row>
    <row r="92" spans="1:24" ht="41.4">
      <c r="A92" s="6" t="s">
        <v>569</v>
      </c>
      <c r="B92" s="6" t="s">
        <v>390</v>
      </c>
      <c r="C92" s="6" t="s">
        <v>527</v>
      </c>
      <c r="D92" s="6" t="s">
        <v>570</v>
      </c>
      <c r="E92" s="6" t="s">
        <v>571</v>
      </c>
      <c r="F92" s="6" t="s">
        <v>572</v>
      </c>
      <c r="G92" s="6" t="s">
        <v>573</v>
      </c>
      <c r="H92" s="6" t="s">
        <v>574</v>
      </c>
      <c r="I92" s="6" t="s">
        <v>533</v>
      </c>
      <c r="J92" s="6" t="s">
        <v>534</v>
      </c>
      <c r="K92" s="6" t="s">
        <v>535</v>
      </c>
      <c r="L92" s="7" t="s">
        <v>51</v>
      </c>
      <c r="M92" s="8" t="str">
        <f t="shared" si="4"/>
        <v/>
      </c>
      <c r="N92" s="7"/>
      <c r="O92" s="7"/>
      <c r="P92" s="7"/>
      <c r="Q92" s="7"/>
      <c r="R92" s="7"/>
      <c r="S92" s="7"/>
      <c r="T92" s="9"/>
      <c r="U92" s="10" t="str">
        <f t="shared" si="5"/>
        <v/>
      </c>
      <c r="V92" s="6" t="s">
        <v>575</v>
      </c>
      <c r="W92" s="6" t="s">
        <v>53</v>
      </c>
      <c r="X92" s="6"/>
    </row>
    <row r="93" spans="1:24" ht="41.4">
      <c r="A93" s="6" t="s">
        <v>576</v>
      </c>
      <c r="B93" s="6" t="s">
        <v>390</v>
      </c>
      <c r="C93" s="6" t="s">
        <v>527</v>
      </c>
      <c r="D93" s="6" t="s">
        <v>570</v>
      </c>
      <c r="E93" s="6" t="s">
        <v>577</v>
      </c>
      <c r="F93" s="6" t="s">
        <v>578</v>
      </c>
      <c r="G93" s="6" t="s">
        <v>579</v>
      </c>
      <c r="H93" s="6" t="s">
        <v>580</v>
      </c>
      <c r="I93" s="6" t="s">
        <v>533</v>
      </c>
      <c r="J93" s="6" t="s">
        <v>534</v>
      </c>
      <c r="K93" s="6" t="s">
        <v>535</v>
      </c>
      <c r="L93" s="7" t="s">
        <v>51</v>
      </c>
      <c r="M93" s="8" t="str">
        <f t="shared" si="4"/>
        <v/>
      </c>
      <c r="N93" s="7"/>
      <c r="O93" s="7"/>
      <c r="P93" s="7"/>
      <c r="Q93" s="7"/>
      <c r="R93" s="7"/>
      <c r="S93" s="7"/>
      <c r="T93" s="9"/>
      <c r="U93" s="10" t="str">
        <f t="shared" si="5"/>
        <v/>
      </c>
      <c r="V93" s="6" t="s">
        <v>575</v>
      </c>
      <c r="W93" s="6" t="s">
        <v>53</v>
      </c>
      <c r="X93" s="6"/>
    </row>
    <row r="94" spans="1:24" ht="41.4">
      <c r="A94" s="6" t="s">
        <v>581</v>
      </c>
      <c r="B94" s="6" t="s">
        <v>390</v>
      </c>
      <c r="C94" s="6" t="s">
        <v>527</v>
      </c>
      <c r="D94" s="6" t="s">
        <v>570</v>
      </c>
      <c r="E94" s="6" t="s">
        <v>582</v>
      </c>
      <c r="F94" s="6" t="s">
        <v>583</v>
      </c>
      <c r="G94" s="6" t="s">
        <v>584</v>
      </c>
      <c r="H94" s="6" t="s">
        <v>585</v>
      </c>
      <c r="I94" s="6" t="s">
        <v>533</v>
      </c>
      <c r="J94" s="6" t="s">
        <v>534</v>
      </c>
      <c r="K94" s="6" t="s">
        <v>535</v>
      </c>
      <c r="L94" s="7" t="s">
        <v>51</v>
      </c>
      <c r="M94" s="8" t="str">
        <f t="shared" si="4"/>
        <v/>
      </c>
      <c r="N94" s="7"/>
      <c r="O94" s="7"/>
      <c r="P94" s="7"/>
      <c r="Q94" s="7"/>
      <c r="R94" s="7"/>
      <c r="S94" s="7"/>
      <c r="T94" s="9"/>
      <c r="U94" s="10" t="str">
        <f t="shared" si="5"/>
        <v/>
      </c>
      <c r="V94" s="6" t="s">
        <v>575</v>
      </c>
      <c r="W94" s="6" t="s">
        <v>53</v>
      </c>
      <c r="X94" s="6"/>
    </row>
    <row r="95" spans="1:24" ht="41.4">
      <c r="A95" s="6" t="s">
        <v>586</v>
      </c>
      <c r="B95" s="6" t="s">
        <v>390</v>
      </c>
      <c r="C95" s="6" t="s">
        <v>527</v>
      </c>
      <c r="D95" s="6" t="s">
        <v>570</v>
      </c>
      <c r="E95" s="6" t="s">
        <v>587</v>
      </c>
      <c r="F95" s="6" t="s">
        <v>588</v>
      </c>
      <c r="G95" s="6" t="s">
        <v>589</v>
      </c>
      <c r="H95" s="6" t="s">
        <v>590</v>
      </c>
      <c r="I95" s="6" t="s">
        <v>533</v>
      </c>
      <c r="J95" s="6" t="s">
        <v>534</v>
      </c>
      <c r="K95" s="6" t="s">
        <v>535</v>
      </c>
      <c r="L95" s="7" t="s">
        <v>51</v>
      </c>
      <c r="M95" s="8" t="str">
        <f t="shared" si="4"/>
        <v/>
      </c>
      <c r="N95" s="7"/>
      <c r="O95" s="7"/>
      <c r="P95" s="7"/>
      <c r="Q95" s="7"/>
      <c r="R95" s="7"/>
      <c r="S95" s="7"/>
      <c r="T95" s="9"/>
      <c r="U95" s="10" t="str">
        <f t="shared" si="5"/>
        <v/>
      </c>
      <c r="V95" s="6" t="s">
        <v>575</v>
      </c>
      <c r="W95" s="6" t="s">
        <v>53</v>
      </c>
      <c r="X95" s="6"/>
    </row>
    <row r="96" spans="1:24" ht="41.4">
      <c r="A96" s="6" t="s">
        <v>591</v>
      </c>
      <c r="B96" s="6" t="s">
        <v>390</v>
      </c>
      <c r="C96" s="6" t="s">
        <v>527</v>
      </c>
      <c r="D96" s="6" t="s">
        <v>592</v>
      </c>
      <c r="E96" s="6" t="s">
        <v>593</v>
      </c>
      <c r="F96" s="6" t="s">
        <v>594</v>
      </c>
      <c r="G96" s="6" t="s">
        <v>595</v>
      </c>
      <c r="H96" s="6" t="s">
        <v>596</v>
      </c>
      <c r="I96" s="6" t="s">
        <v>533</v>
      </c>
      <c r="J96" s="6" t="s">
        <v>534</v>
      </c>
      <c r="K96" s="6" t="s">
        <v>535</v>
      </c>
      <c r="L96" s="7" t="s">
        <v>51</v>
      </c>
      <c r="M96" s="8" t="str">
        <f t="shared" si="4"/>
        <v/>
      </c>
      <c r="N96" s="7"/>
      <c r="O96" s="7"/>
      <c r="P96" s="7"/>
      <c r="Q96" s="7"/>
      <c r="R96" s="7"/>
      <c r="S96" s="7"/>
      <c r="T96" s="9"/>
      <c r="U96" s="10" t="str">
        <f t="shared" si="5"/>
        <v/>
      </c>
      <c r="V96" s="6" t="s">
        <v>597</v>
      </c>
      <c r="W96" s="6" t="s">
        <v>53</v>
      </c>
      <c r="X96" s="6"/>
    </row>
    <row r="97" spans="1:24" ht="41.4">
      <c r="A97" s="6" t="s">
        <v>598</v>
      </c>
      <c r="B97" s="6" t="s">
        <v>390</v>
      </c>
      <c r="C97" s="6" t="s">
        <v>527</v>
      </c>
      <c r="D97" s="6" t="s">
        <v>599</v>
      </c>
      <c r="E97" s="6" t="s">
        <v>600</v>
      </c>
      <c r="F97" s="6" t="s">
        <v>601</v>
      </c>
      <c r="G97" s="6" t="s">
        <v>602</v>
      </c>
      <c r="H97" s="6" t="s">
        <v>603</v>
      </c>
      <c r="I97" s="6" t="s">
        <v>533</v>
      </c>
      <c r="J97" s="6" t="s">
        <v>534</v>
      </c>
      <c r="K97" s="6" t="s">
        <v>535</v>
      </c>
      <c r="L97" s="7" t="s">
        <v>51</v>
      </c>
      <c r="M97" s="8" t="str">
        <f t="shared" si="4"/>
        <v/>
      </c>
      <c r="N97" s="7"/>
      <c r="O97" s="7"/>
      <c r="P97" s="7"/>
      <c r="Q97" s="7"/>
      <c r="R97" s="7"/>
      <c r="S97" s="7"/>
      <c r="T97" s="9"/>
      <c r="U97" s="10" t="str">
        <f t="shared" si="5"/>
        <v/>
      </c>
      <c r="V97" s="6" t="s">
        <v>604</v>
      </c>
      <c r="W97" s="6" t="s">
        <v>53</v>
      </c>
      <c r="X97" s="6"/>
    </row>
    <row r="98" spans="1:24" ht="41.4">
      <c r="A98" s="6" t="s">
        <v>605</v>
      </c>
      <c r="B98" s="6" t="s">
        <v>390</v>
      </c>
      <c r="C98" s="6" t="s">
        <v>527</v>
      </c>
      <c r="D98" s="6" t="s">
        <v>599</v>
      </c>
      <c r="E98" s="6" t="s">
        <v>606</v>
      </c>
      <c r="F98" s="6" t="s">
        <v>607</v>
      </c>
      <c r="G98" s="6" t="s">
        <v>608</v>
      </c>
      <c r="H98" s="6" t="s">
        <v>609</v>
      </c>
      <c r="I98" s="6" t="s">
        <v>533</v>
      </c>
      <c r="J98" s="6" t="s">
        <v>534</v>
      </c>
      <c r="K98" s="6" t="s">
        <v>535</v>
      </c>
      <c r="L98" s="7" t="s">
        <v>51</v>
      </c>
      <c r="M98" s="8" t="str">
        <f t="shared" ref="M98:M129" si="6">IF(L98="Cumple",1,IF(L98="Cumple parcial",0.5,IF(L98="No cumple",0,"")))</f>
        <v/>
      </c>
      <c r="N98" s="7"/>
      <c r="O98" s="7"/>
      <c r="P98" s="7"/>
      <c r="Q98" s="7"/>
      <c r="R98" s="7"/>
      <c r="S98" s="7"/>
      <c r="T98" s="9"/>
      <c r="U98" s="10" t="str">
        <f t="shared" ref="U98:U129" si="7">IF(OR(L98="No cumple",L98="Cumple parcial"),"Sí",IF(L98="Cumple","No",""))</f>
        <v/>
      </c>
      <c r="V98" s="6" t="s">
        <v>604</v>
      </c>
      <c r="W98" s="6" t="s">
        <v>53</v>
      </c>
      <c r="X98" s="6"/>
    </row>
    <row r="99" spans="1:24" ht="41.4">
      <c r="A99" s="6" t="s">
        <v>610</v>
      </c>
      <c r="B99" s="6" t="s">
        <v>390</v>
      </c>
      <c r="C99" s="6" t="s">
        <v>527</v>
      </c>
      <c r="D99" s="6" t="s">
        <v>611</v>
      </c>
      <c r="E99" s="6" t="s">
        <v>612</v>
      </c>
      <c r="F99" s="6" t="s">
        <v>613</v>
      </c>
      <c r="G99" s="6" t="s">
        <v>614</v>
      </c>
      <c r="H99" s="6" t="s">
        <v>615</v>
      </c>
      <c r="I99" s="6" t="s">
        <v>533</v>
      </c>
      <c r="J99" s="6" t="s">
        <v>534</v>
      </c>
      <c r="K99" s="6" t="s">
        <v>535</v>
      </c>
      <c r="L99" s="7" t="s">
        <v>51</v>
      </c>
      <c r="M99" s="8" t="str">
        <f t="shared" si="6"/>
        <v/>
      </c>
      <c r="N99" s="7"/>
      <c r="O99" s="7"/>
      <c r="P99" s="7"/>
      <c r="Q99" s="7"/>
      <c r="R99" s="7"/>
      <c r="S99" s="7"/>
      <c r="T99" s="9"/>
      <c r="U99" s="10" t="str">
        <f t="shared" si="7"/>
        <v/>
      </c>
      <c r="V99" s="6" t="s">
        <v>616</v>
      </c>
      <c r="W99" s="6" t="s">
        <v>53</v>
      </c>
      <c r="X99" s="6"/>
    </row>
    <row r="100" spans="1:24" ht="41.4">
      <c r="A100" s="6" t="s">
        <v>617</v>
      </c>
      <c r="B100" s="6" t="s">
        <v>390</v>
      </c>
      <c r="C100" s="6" t="s">
        <v>527</v>
      </c>
      <c r="D100" s="6" t="s">
        <v>611</v>
      </c>
      <c r="E100" s="6" t="s">
        <v>618</v>
      </c>
      <c r="F100" s="6" t="s">
        <v>619</v>
      </c>
      <c r="G100" s="6" t="s">
        <v>620</v>
      </c>
      <c r="H100" s="6" t="s">
        <v>621</v>
      </c>
      <c r="I100" s="6" t="s">
        <v>533</v>
      </c>
      <c r="J100" s="6" t="s">
        <v>534</v>
      </c>
      <c r="K100" s="6" t="s">
        <v>535</v>
      </c>
      <c r="L100" s="7" t="s">
        <v>51</v>
      </c>
      <c r="M100" s="8" t="str">
        <f t="shared" si="6"/>
        <v/>
      </c>
      <c r="N100" s="7"/>
      <c r="O100" s="7"/>
      <c r="P100" s="7"/>
      <c r="Q100" s="7"/>
      <c r="R100" s="7"/>
      <c r="S100" s="7"/>
      <c r="T100" s="9"/>
      <c r="U100" s="10" t="str">
        <f t="shared" si="7"/>
        <v/>
      </c>
      <c r="V100" s="6" t="s">
        <v>616</v>
      </c>
      <c r="W100" s="6" t="s">
        <v>53</v>
      </c>
      <c r="X100" s="6"/>
    </row>
    <row r="101" spans="1:24" ht="41.4">
      <c r="A101" s="6" t="s">
        <v>622</v>
      </c>
      <c r="B101" s="6" t="s">
        <v>390</v>
      </c>
      <c r="C101" s="6" t="s">
        <v>527</v>
      </c>
      <c r="D101" s="6" t="s">
        <v>623</v>
      </c>
      <c r="E101" s="6" t="s">
        <v>624</v>
      </c>
      <c r="F101" s="6" t="s">
        <v>625</v>
      </c>
      <c r="G101" s="6" t="s">
        <v>626</v>
      </c>
      <c r="H101" s="6" t="s">
        <v>627</v>
      </c>
      <c r="I101" s="6" t="s">
        <v>533</v>
      </c>
      <c r="J101" s="6" t="s">
        <v>534</v>
      </c>
      <c r="K101" s="6" t="s">
        <v>535</v>
      </c>
      <c r="L101" s="7" t="s">
        <v>51</v>
      </c>
      <c r="M101" s="8" t="str">
        <f t="shared" si="6"/>
        <v/>
      </c>
      <c r="N101" s="7"/>
      <c r="O101" s="7"/>
      <c r="P101" s="7"/>
      <c r="Q101" s="7"/>
      <c r="R101" s="7"/>
      <c r="S101" s="7"/>
      <c r="T101" s="9"/>
      <c r="U101" s="10" t="str">
        <f t="shared" si="7"/>
        <v/>
      </c>
      <c r="V101" s="6" t="s">
        <v>628</v>
      </c>
      <c r="W101" s="6" t="s">
        <v>53</v>
      </c>
      <c r="X101" s="6"/>
    </row>
    <row r="102" spans="1:24" ht="41.4">
      <c r="A102" s="6" t="s">
        <v>629</v>
      </c>
      <c r="B102" s="6" t="s">
        <v>390</v>
      </c>
      <c r="C102" s="6" t="s">
        <v>527</v>
      </c>
      <c r="D102" s="6" t="s">
        <v>623</v>
      </c>
      <c r="E102" s="6" t="s">
        <v>630</v>
      </c>
      <c r="F102" s="6" t="s">
        <v>631</v>
      </c>
      <c r="G102" s="6" t="s">
        <v>632</v>
      </c>
      <c r="H102" s="6" t="s">
        <v>633</v>
      </c>
      <c r="I102" s="6" t="s">
        <v>533</v>
      </c>
      <c r="J102" s="6" t="s">
        <v>534</v>
      </c>
      <c r="K102" s="6" t="s">
        <v>535</v>
      </c>
      <c r="L102" s="7" t="s">
        <v>51</v>
      </c>
      <c r="M102" s="8" t="str">
        <f t="shared" si="6"/>
        <v/>
      </c>
      <c r="N102" s="7"/>
      <c r="O102" s="7"/>
      <c r="P102" s="7"/>
      <c r="Q102" s="7"/>
      <c r="R102" s="7"/>
      <c r="S102" s="7"/>
      <c r="T102" s="9"/>
      <c r="U102" s="10" t="str">
        <f t="shared" si="7"/>
        <v/>
      </c>
      <c r="V102" s="6" t="s">
        <v>628</v>
      </c>
      <c r="W102" s="6" t="s">
        <v>53</v>
      </c>
      <c r="X102" s="6"/>
    </row>
    <row r="103" spans="1:24" ht="41.4">
      <c r="A103" s="6" t="s">
        <v>634</v>
      </c>
      <c r="B103" s="6" t="s">
        <v>390</v>
      </c>
      <c r="C103" s="6" t="s">
        <v>527</v>
      </c>
      <c r="D103" s="6" t="s">
        <v>623</v>
      </c>
      <c r="E103" s="6" t="s">
        <v>635</v>
      </c>
      <c r="F103" s="6" t="s">
        <v>636</v>
      </c>
      <c r="G103" s="6" t="s">
        <v>637</v>
      </c>
      <c r="H103" s="6" t="s">
        <v>638</v>
      </c>
      <c r="I103" s="6" t="s">
        <v>533</v>
      </c>
      <c r="J103" s="6" t="s">
        <v>534</v>
      </c>
      <c r="K103" s="6" t="s">
        <v>535</v>
      </c>
      <c r="L103" s="7" t="s">
        <v>51</v>
      </c>
      <c r="M103" s="8" t="str">
        <f t="shared" si="6"/>
        <v/>
      </c>
      <c r="N103" s="7"/>
      <c r="O103" s="7"/>
      <c r="P103" s="7"/>
      <c r="Q103" s="7"/>
      <c r="R103" s="7"/>
      <c r="S103" s="7"/>
      <c r="T103" s="9"/>
      <c r="U103" s="10" t="str">
        <f t="shared" si="7"/>
        <v/>
      </c>
      <c r="V103" s="6" t="s">
        <v>628</v>
      </c>
      <c r="W103" s="6" t="s">
        <v>53</v>
      </c>
      <c r="X103" s="6"/>
    </row>
    <row r="104" spans="1:24" ht="41.4">
      <c r="A104" s="6" t="s">
        <v>639</v>
      </c>
      <c r="B104" s="6" t="s">
        <v>390</v>
      </c>
      <c r="C104" s="6" t="s">
        <v>527</v>
      </c>
      <c r="D104" s="6" t="s">
        <v>623</v>
      </c>
      <c r="E104" s="6" t="s">
        <v>640</v>
      </c>
      <c r="F104" s="6" t="s">
        <v>641</v>
      </c>
      <c r="G104" s="6" t="s">
        <v>642</v>
      </c>
      <c r="H104" s="6" t="s">
        <v>643</v>
      </c>
      <c r="I104" s="6" t="s">
        <v>533</v>
      </c>
      <c r="J104" s="6" t="s">
        <v>534</v>
      </c>
      <c r="K104" s="6" t="s">
        <v>535</v>
      </c>
      <c r="L104" s="7" t="s">
        <v>51</v>
      </c>
      <c r="M104" s="8" t="str">
        <f t="shared" si="6"/>
        <v/>
      </c>
      <c r="N104" s="7"/>
      <c r="O104" s="7"/>
      <c r="P104" s="7"/>
      <c r="Q104" s="7"/>
      <c r="R104" s="7"/>
      <c r="S104" s="7"/>
      <c r="T104" s="9"/>
      <c r="U104" s="10" t="str">
        <f t="shared" si="7"/>
        <v/>
      </c>
      <c r="V104" s="6" t="s">
        <v>628</v>
      </c>
      <c r="W104" s="6" t="s">
        <v>53</v>
      </c>
      <c r="X104" s="6"/>
    </row>
    <row r="105" spans="1:24" ht="41.4">
      <c r="A105" s="6" t="s">
        <v>644</v>
      </c>
      <c r="B105" s="6" t="s">
        <v>390</v>
      </c>
      <c r="C105" s="6" t="s">
        <v>527</v>
      </c>
      <c r="D105" s="6" t="s">
        <v>623</v>
      </c>
      <c r="E105" s="6" t="s">
        <v>645</v>
      </c>
      <c r="F105" s="6" t="s">
        <v>646</v>
      </c>
      <c r="G105" s="6" t="s">
        <v>647</v>
      </c>
      <c r="H105" s="6" t="s">
        <v>648</v>
      </c>
      <c r="I105" s="6" t="s">
        <v>533</v>
      </c>
      <c r="J105" s="6" t="s">
        <v>534</v>
      </c>
      <c r="K105" s="6" t="s">
        <v>535</v>
      </c>
      <c r="L105" s="7" t="s">
        <v>51</v>
      </c>
      <c r="M105" s="8" t="str">
        <f t="shared" si="6"/>
        <v/>
      </c>
      <c r="N105" s="7"/>
      <c r="O105" s="7"/>
      <c r="P105" s="7"/>
      <c r="Q105" s="7"/>
      <c r="R105" s="7"/>
      <c r="S105" s="7"/>
      <c r="T105" s="9"/>
      <c r="U105" s="10" t="str">
        <f t="shared" si="7"/>
        <v/>
      </c>
      <c r="V105" s="6" t="s">
        <v>628</v>
      </c>
      <c r="W105" s="6" t="s">
        <v>53</v>
      </c>
      <c r="X105" s="6"/>
    </row>
    <row r="106" spans="1:24" ht="41.4">
      <c r="A106" s="6" t="s">
        <v>649</v>
      </c>
      <c r="B106" s="6" t="s">
        <v>390</v>
      </c>
      <c r="C106" s="6" t="s">
        <v>527</v>
      </c>
      <c r="D106" s="6" t="s">
        <v>623</v>
      </c>
      <c r="E106" s="6" t="s">
        <v>650</v>
      </c>
      <c r="F106" s="6" t="s">
        <v>651</v>
      </c>
      <c r="G106" s="6" t="s">
        <v>652</v>
      </c>
      <c r="H106" s="6" t="s">
        <v>653</v>
      </c>
      <c r="I106" s="6" t="s">
        <v>533</v>
      </c>
      <c r="J106" s="6" t="s">
        <v>534</v>
      </c>
      <c r="K106" s="6" t="s">
        <v>535</v>
      </c>
      <c r="L106" s="7" t="s">
        <v>51</v>
      </c>
      <c r="M106" s="8" t="str">
        <f t="shared" si="6"/>
        <v/>
      </c>
      <c r="N106" s="7"/>
      <c r="O106" s="7"/>
      <c r="P106" s="7"/>
      <c r="Q106" s="7"/>
      <c r="R106" s="7"/>
      <c r="S106" s="7"/>
      <c r="T106" s="9"/>
      <c r="U106" s="10" t="str">
        <f t="shared" si="7"/>
        <v/>
      </c>
      <c r="V106" s="6" t="s">
        <v>628</v>
      </c>
      <c r="W106" s="6" t="s">
        <v>53</v>
      </c>
      <c r="X106" s="6"/>
    </row>
    <row r="107" spans="1:24" ht="41.4">
      <c r="A107" s="6" t="s">
        <v>654</v>
      </c>
      <c r="B107" s="6" t="s">
        <v>390</v>
      </c>
      <c r="C107" s="6" t="s">
        <v>527</v>
      </c>
      <c r="D107" s="6" t="s">
        <v>623</v>
      </c>
      <c r="E107" s="6" t="s">
        <v>655</v>
      </c>
      <c r="F107" s="6" t="s">
        <v>656</v>
      </c>
      <c r="G107" s="6" t="s">
        <v>657</v>
      </c>
      <c r="H107" s="6" t="s">
        <v>658</v>
      </c>
      <c r="I107" s="6" t="s">
        <v>533</v>
      </c>
      <c r="J107" s="6" t="s">
        <v>534</v>
      </c>
      <c r="K107" s="6" t="s">
        <v>535</v>
      </c>
      <c r="L107" s="7" t="s">
        <v>51</v>
      </c>
      <c r="M107" s="8" t="str">
        <f t="shared" si="6"/>
        <v/>
      </c>
      <c r="N107" s="7"/>
      <c r="O107" s="7"/>
      <c r="P107" s="7"/>
      <c r="Q107" s="7"/>
      <c r="R107" s="7"/>
      <c r="S107" s="7"/>
      <c r="T107" s="9"/>
      <c r="U107" s="10" t="str">
        <f t="shared" si="7"/>
        <v/>
      </c>
      <c r="V107" s="6" t="s">
        <v>628</v>
      </c>
      <c r="W107" s="6" t="s">
        <v>53</v>
      </c>
      <c r="X107" s="6"/>
    </row>
    <row r="108" spans="1:24" ht="41.4">
      <c r="A108" s="6" t="s">
        <v>659</v>
      </c>
      <c r="B108" s="6" t="s">
        <v>390</v>
      </c>
      <c r="C108" s="6" t="s">
        <v>527</v>
      </c>
      <c r="D108" s="6" t="s">
        <v>623</v>
      </c>
      <c r="E108" s="6" t="s">
        <v>660</v>
      </c>
      <c r="F108" s="6" t="s">
        <v>661</v>
      </c>
      <c r="G108" s="6" t="s">
        <v>662</v>
      </c>
      <c r="H108" s="6" t="s">
        <v>663</v>
      </c>
      <c r="I108" s="6" t="s">
        <v>533</v>
      </c>
      <c r="J108" s="6" t="s">
        <v>534</v>
      </c>
      <c r="K108" s="6" t="s">
        <v>535</v>
      </c>
      <c r="L108" s="7" t="s">
        <v>51</v>
      </c>
      <c r="M108" s="8" t="str">
        <f t="shared" si="6"/>
        <v/>
      </c>
      <c r="N108" s="7"/>
      <c r="O108" s="7"/>
      <c r="P108" s="7"/>
      <c r="Q108" s="7"/>
      <c r="R108" s="7"/>
      <c r="S108" s="7"/>
      <c r="T108" s="9"/>
      <c r="U108" s="10" t="str">
        <f t="shared" si="7"/>
        <v/>
      </c>
      <c r="V108" s="6" t="s">
        <v>628</v>
      </c>
      <c r="W108" s="6" t="s">
        <v>53</v>
      </c>
      <c r="X108" s="6"/>
    </row>
    <row r="109" spans="1:24" ht="41.4">
      <c r="A109" s="6" t="s">
        <v>664</v>
      </c>
      <c r="B109" s="6" t="s">
        <v>665</v>
      </c>
      <c r="C109" s="6" t="s">
        <v>666</v>
      </c>
      <c r="D109" s="6" t="s">
        <v>667</v>
      </c>
      <c r="E109" s="6" t="s">
        <v>668</v>
      </c>
      <c r="F109" s="6" t="s">
        <v>669</v>
      </c>
      <c r="G109" s="6" t="s">
        <v>670</v>
      </c>
      <c r="H109" s="6" t="s">
        <v>671</v>
      </c>
      <c r="I109" s="6" t="s">
        <v>672</v>
      </c>
      <c r="J109" s="6" t="s">
        <v>49</v>
      </c>
      <c r="K109" s="6" t="s">
        <v>673</v>
      </c>
      <c r="L109" s="7" t="s">
        <v>51</v>
      </c>
      <c r="M109" s="8" t="str">
        <f t="shared" si="6"/>
        <v/>
      </c>
      <c r="N109" s="7"/>
      <c r="O109" s="7"/>
      <c r="P109" s="7"/>
      <c r="Q109" s="7"/>
      <c r="R109" s="7"/>
      <c r="S109" s="7"/>
      <c r="T109" s="9"/>
      <c r="U109" s="10" t="str">
        <f t="shared" si="7"/>
        <v/>
      </c>
      <c r="V109" s="6" t="s">
        <v>674</v>
      </c>
      <c r="W109" s="6" t="s">
        <v>53</v>
      </c>
      <c r="X109" s="6"/>
    </row>
    <row r="110" spans="1:24" ht="41.4">
      <c r="A110" s="6" t="s">
        <v>675</v>
      </c>
      <c r="B110" s="6" t="s">
        <v>665</v>
      </c>
      <c r="C110" s="6" t="s">
        <v>666</v>
      </c>
      <c r="D110" s="6" t="s">
        <v>667</v>
      </c>
      <c r="E110" s="6" t="s">
        <v>676</v>
      </c>
      <c r="F110" s="6" t="s">
        <v>677</v>
      </c>
      <c r="G110" s="6" t="s">
        <v>678</v>
      </c>
      <c r="H110" s="6" t="s">
        <v>679</v>
      </c>
      <c r="I110" s="6" t="s">
        <v>672</v>
      </c>
      <c r="J110" s="6" t="s">
        <v>49</v>
      </c>
      <c r="K110" s="6" t="s">
        <v>673</v>
      </c>
      <c r="L110" s="7" t="s">
        <v>51</v>
      </c>
      <c r="M110" s="8" t="str">
        <f t="shared" si="6"/>
        <v/>
      </c>
      <c r="N110" s="7"/>
      <c r="O110" s="7"/>
      <c r="P110" s="7"/>
      <c r="Q110" s="7"/>
      <c r="R110" s="7"/>
      <c r="S110" s="7"/>
      <c r="T110" s="9"/>
      <c r="U110" s="10" t="str">
        <f t="shared" si="7"/>
        <v/>
      </c>
      <c r="V110" s="6" t="s">
        <v>674</v>
      </c>
      <c r="W110" s="6" t="s">
        <v>53</v>
      </c>
      <c r="X110" s="6"/>
    </row>
    <row r="111" spans="1:24" ht="41.4">
      <c r="A111" s="6" t="s">
        <v>680</v>
      </c>
      <c r="B111" s="6" t="s">
        <v>665</v>
      </c>
      <c r="C111" s="6" t="s">
        <v>666</v>
      </c>
      <c r="D111" s="6" t="s">
        <v>667</v>
      </c>
      <c r="E111" s="6" t="s">
        <v>681</v>
      </c>
      <c r="F111" s="6" t="s">
        <v>682</v>
      </c>
      <c r="G111" s="6" t="s">
        <v>683</v>
      </c>
      <c r="H111" s="6" t="s">
        <v>684</v>
      </c>
      <c r="I111" s="6" t="s">
        <v>672</v>
      </c>
      <c r="J111" s="6" t="s">
        <v>49</v>
      </c>
      <c r="K111" s="6" t="s">
        <v>673</v>
      </c>
      <c r="L111" s="7" t="s">
        <v>51</v>
      </c>
      <c r="M111" s="8" t="str">
        <f t="shared" si="6"/>
        <v/>
      </c>
      <c r="N111" s="7"/>
      <c r="O111" s="7"/>
      <c r="P111" s="7"/>
      <c r="Q111" s="7"/>
      <c r="R111" s="7"/>
      <c r="S111" s="7"/>
      <c r="T111" s="9"/>
      <c r="U111" s="10" t="str">
        <f t="shared" si="7"/>
        <v/>
      </c>
      <c r="V111" s="6" t="s">
        <v>674</v>
      </c>
      <c r="W111" s="6" t="s">
        <v>53</v>
      </c>
      <c r="X111" s="6"/>
    </row>
    <row r="112" spans="1:24" ht="41.4">
      <c r="A112" s="6" t="s">
        <v>685</v>
      </c>
      <c r="B112" s="6" t="s">
        <v>665</v>
      </c>
      <c r="C112" s="6" t="s">
        <v>666</v>
      </c>
      <c r="D112" s="6" t="s">
        <v>667</v>
      </c>
      <c r="E112" s="6" t="s">
        <v>686</v>
      </c>
      <c r="F112" s="6" t="s">
        <v>687</v>
      </c>
      <c r="G112" s="6" t="s">
        <v>688</v>
      </c>
      <c r="H112" s="6" t="s">
        <v>689</v>
      </c>
      <c r="I112" s="6" t="s">
        <v>672</v>
      </c>
      <c r="J112" s="6" t="s">
        <v>49</v>
      </c>
      <c r="K112" s="6" t="s">
        <v>673</v>
      </c>
      <c r="L112" s="7" t="s">
        <v>51</v>
      </c>
      <c r="M112" s="8" t="str">
        <f t="shared" si="6"/>
        <v/>
      </c>
      <c r="N112" s="7"/>
      <c r="O112" s="7"/>
      <c r="P112" s="7"/>
      <c r="Q112" s="7"/>
      <c r="R112" s="7"/>
      <c r="S112" s="7"/>
      <c r="T112" s="9"/>
      <c r="U112" s="10" t="str">
        <f t="shared" si="7"/>
        <v/>
      </c>
      <c r="V112" s="6" t="s">
        <v>674</v>
      </c>
      <c r="W112" s="6" t="s">
        <v>53</v>
      </c>
      <c r="X112" s="6"/>
    </row>
    <row r="113" spans="1:24" ht="41.4">
      <c r="A113" s="6" t="s">
        <v>690</v>
      </c>
      <c r="B113" s="6" t="s">
        <v>665</v>
      </c>
      <c r="C113" s="6" t="s">
        <v>666</v>
      </c>
      <c r="D113" s="6" t="s">
        <v>667</v>
      </c>
      <c r="E113" s="6" t="s">
        <v>691</v>
      </c>
      <c r="F113" s="6" t="s">
        <v>692</v>
      </c>
      <c r="G113" s="6" t="s">
        <v>693</v>
      </c>
      <c r="H113" s="6" t="s">
        <v>694</v>
      </c>
      <c r="I113" s="6" t="s">
        <v>672</v>
      </c>
      <c r="J113" s="6" t="s">
        <v>49</v>
      </c>
      <c r="K113" s="6" t="s">
        <v>673</v>
      </c>
      <c r="L113" s="7" t="s">
        <v>51</v>
      </c>
      <c r="M113" s="8" t="str">
        <f t="shared" si="6"/>
        <v/>
      </c>
      <c r="N113" s="7"/>
      <c r="O113" s="7"/>
      <c r="P113" s="7"/>
      <c r="Q113" s="7"/>
      <c r="R113" s="7"/>
      <c r="S113" s="7"/>
      <c r="T113" s="9"/>
      <c r="U113" s="10" t="str">
        <f t="shared" si="7"/>
        <v/>
      </c>
      <c r="V113" s="6" t="s">
        <v>674</v>
      </c>
      <c r="W113" s="6" t="s">
        <v>53</v>
      </c>
      <c r="X113" s="6"/>
    </row>
    <row r="114" spans="1:24" ht="41.4">
      <c r="A114" s="6" t="s">
        <v>695</v>
      </c>
      <c r="B114" s="6" t="s">
        <v>665</v>
      </c>
      <c r="C114" s="6" t="s">
        <v>666</v>
      </c>
      <c r="D114" s="6" t="s">
        <v>667</v>
      </c>
      <c r="E114" s="6" t="s">
        <v>696</v>
      </c>
      <c r="F114" s="6" t="s">
        <v>697</v>
      </c>
      <c r="G114" s="6" t="s">
        <v>698</v>
      </c>
      <c r="H114" s="6" t="s">
        <v>699</v>
      </c>
      <c r="I114" s="6" t="s">
        <v>672</v>
      </c>
      <c r="J114" s="6" t="s">
        <v>49</v>
      </c>
      <c r="K114" s="6" t="s">
        <v>673</v>
      </c>
      <c r="L114" s="7" t="s">
        <v>51</v>
      </c>
      <c r="M114" s="8" t="str">
        <f t="shared" si="6"/>
        <v/>
      </c>
      <c r="N114" s="7"/>
      <c r="O114" s="7"/>
      <c r="P114" s="7"/>
      <c r="Q114" s="7"/>
      <c r="R114" s="7"/>
      <c r="S114" s="7"/>
      <c r="T114" s="9"/>
      <c r="U114" s="10" t="str">
        <f t="shared" si="7"/>
        <v/>
      </c>
      <c r="V114" s="6" t="s">
        <v>674</v>
      </c>
      <c r="W114" s="6" t="s">
        <v>53</v>
      </c>
      <c r="X114" s="6"/>
    </row>
    <row r="115" spans="1:24" ht="41.4">
      <c r="A115" s="6" t="s">
        <v>700</v>
      </c>
      <c r="B115" s="6" t="s">
        <v>665</v>
      </c>
      <c r="C115" s="6" t="s">
        <v>666</v>
      </c>
      <c r="D115" s="6" t="s">
        <v>701</v>
      </c>
      <c r="E115" s="6" t="s">
        <v>702</v>
      </c>
      <c r="F115" s="6" t="s">
        <v>703</v>
      </c>
      <c r="G115" s="6" t="s">
        <v>704</v>
      </c>
      <c r="H115" s="6" t="s">
        <v>705</v>
      </c>
      <c r="I115" s="6" t="s">
        <v>672</v>
      </c>
      <c r="J115" s="6" t="s">
        <v>49</v>
      </c>
      <c r="K115" s="6" t="s">
        <v>673</v>
      </c>
      <c r="L115" s="7" t="s">
        <v>51</v>
      </c>
      <c r="M115" s="8" t="str">
        <f t="shared" si="6"/>
        <v/>
      </c>
      <c r="N115" s="7"/>
      <c r="O115" s="7"/>
      <c r="P115" s="7"/>
      <c r="Q115" s="7"/>
      <c r="R115" s="7"/>
      <c r="S115" s="7"/>
      <c r="T115" s="9"/>
      <c r="U115" s="10" t="str">
        <f t="shared" si="7"/>
        <v/>
      </c>
      <c r="V115" s="6" t="s">
        <v>706</v>
      </c>
      <c r="W115" s="6" t="s">
        <v>53</v>
      </c>
      <c r="X115" s="6"/>
    </row>
    <row r="116" spans="1:24" ht="41.4">
      <c r="A116" s="6" t="s">
        <v>707</v>
      </c>
      <c r="B116" s="6" t="s">
        <v>665</v>
      </c>
      <c r="C116" s="6" t="s">
        <v>666</v>
      </c>
      <c r="D116" s="6" t="s">
        <v>701</v>
      </c>
      <c r="E116" s="6" t="s">
        <v>708</v>
      </c>
      <c r="F116" s="6" t="s">
        <v>709</v>
      </c>
      <c r="G116" s="6" t="s">
        <v>710</v>
      </c>
      <c r="H116" s="6" t="s">
        <v>711</v>
      </c>
      <c r="I116" s="6" t="s">
        <v>672</v>
      </c>
      <c r="J116" s="6" t="s">
        <v>49</v>
      </c>
      <c r="K116" s="6" t="s">
        <v>673</v>
      </c>
      <c r="L116" s="7" t="s">
        <v>51</v>
      </c>
      <c r="M116" s="8" t="str">
        <f t="shared" si="6"/>
        <v/>
      </c>
      <c r="N116" s="7"/>
      <c r="O116" s="7"/>
      <c r="P116" s="7"/>
      <c r="Q116" s="7"/>
      <c r="R116" s="7"/>
      <c r="S116" s="7"/>
      <c r="T116" s="9"/>
      <c r="U116" s="10" t="str">
        <f t="shared" si="7"/>
        <v/>
      </c>
      <c r="V116" s="6" t="s">
        <v>706</v>
      </c>
      <c r="W116" s="6" t="s">
        <v>53</v>
      </c>
      <c r="X116" s="6"/>
    </row>
    <row r="117" spans="1:24" ht="41.4">
      <c r="A117" s="6" t="s">
        <v>712</v>
      </c>
      <c r="B117" s="6" t="s">
        <v>665</v>
      </c>
      <c r="C117" s="6" t="s">
        <v>666</v>
      </c>
      <c r="D117" s="6" t="s">
        <v>701</v>
      </c>
      <c r="E117" s="6" t="s">
        <v>713</v>
      </c>
      <c r="F117" s="6" t="s">
        <v>714</v>
      </c>
      <c r="G117" s="6" t="s">
        <v>715</v>
      </c>
      <c r="H117" s="6" t="s">
        <v>716</v>
      </c>
      <c r="I117" s="6" t="s">
        <v>672</v>
      </c>
      <c r="J117" s="6" t="s">
        <v>49</v>
      </c>
      <c r="K117" s="6" t="s">
        <v>673</v>
      </c>
      <c r="L117" s="7" t="s">
        <v>51</v>
      </c>
      <c r="M117" s="8" t="str">
        <f t="shared" si="6"/>
        <v/>
      </c>
      <c r="N117" s="7"/>
      <c r="O117" s="7"/>
      <c r="P117" s="7"/>
      <c r="Q117" s="7"/>
      <c r="R117" s="7"/>
      <c r="S117" s="7"/>
      <c r="T117" s="9"/>
      <c r="U117" s="10" t="str">
        <f t="shared" si="7"/>
        <v/>
      </c>
      <c r="V117" s="6" t="s">
        <v>706</v>
      </c>
      <c r="W117" s="6" t="s">
        <v>53</v>
      </c>
      <c r="X117" s="6"/>
    </row>
    <row r="118" spans="1:24" ht="41.4">
      <c r="A118" s="6" t="s">
        <v>717</v>
      </c>
      <c r="B118" s="6" t="s">
        <v>665</v>
      </c>
      <c r="C118" s="6" t="s">
        <v>666</v>
      </c>
      <c r="D118" s="6" t="s">
        <v>701</v>
      </c>
      <c r="E118" s="6" t="s">
        <v>718</v>
      </c>
      <c r="F118" s="6" t="s">
        <v>719</v>
      </c>
      <c r="G118" s="6" t="s">
        <v>720</v>
      </c>
      <c r="H118" s="6" t="s">
        <v>721</v>
      </c>
      <c r="I118" s="6" t="s">
        <v>672</v>
      </c>
      <c r="J118" s="6" t="s">
        <v>49</v>
      </c>
      <c r="K118" s="6" t="s">
        <v>673</v>
      </c>
      <c r="L118" s="7" t="s">
        <v>51</v>
      </c>
      <c r="M118" s="8" t="str">
        <f t="shared" si="6"/>
        <v/>
      </c>
      <c r="N118" s="7"/>
      <c r="O118" s="7"/>
      <c r="P118" s="7"/>
      <c r="Q118" s="7"/>
      <c r="R118" s="7"/>
      <c r="S118" s="7"/>
      <c r="T118" s="9"/>
      <c r="U118" s="10" t="str">
        <f t="shared" si="7"/>
        <v/>
      </c>
      <c r="V118" s="6" t="s">
        <v>706</v>
      </c>
      <c r="W118" s="6" t="s">
        <v>53</v>
      </c>
      <c r="X118" s="6"/>
    </row>
    <row r="119" spans="1:24" ht="41.4">
      <c r="A119" s="6" t="s">
        <v>722</v>
      </c>
      <c r="B119" s="6" t="s">
        <v>665</v>
      </c>
      <c r="C119" s="6" t="s">
        <v>666</v>
      </c>
      <c r="D119" s="6" t="s">
        <v>723</v>
      </c>
      <c r="E119" s="6" t="s">
        <v>724</v>
      </c>
      <c r="F119" s="6" t="s">
        <v>725</v>
      </c>
      <c r="G119" s="6" t="s">
        <v>726</v>
      </c>
      <c r="H119" s="6" t="s">
        <v>727</v>
      </c>
      <c r="I119" s="6" t="s">
        <v>672</v>
      </c>
      <c r="J119" s="6" t="s">
        <v>49</v>
      </c>
      <c r="K119" s="6" t="s">
        <v>673</v>
      </c>
      <c r="L119" s="7" t="s">
        <v>51</v>
      </c>
      <c r="M119" s="8" t="str">
        <f t="shared" si="6"/>
        <v/>
      </c>
      <c r="N119" s="7"/>
      <c r="O119" s="7"/>
      <c r="P119" s="7"/>
      <c r="Q119" s="7"/>
      <c r="R119" s="7"/>
      <c r="S119" s="7"/>
      <c r="T119" s="9"/>
      <c r="U119" s="10" t="str">
        <f t="shared" si="7"/>
        <v/>
      </c>
      <c r="V119" s="6" t="s">
        <v>728</v>
      </c>
      <c r="W119" s="6" t="s">
        <v>53</v>
      </c>
      <c r="X119" s="6"/>
    </row>
    <row r="120" spans="1:24" ht="41.4">
      <c r="A120" s="6" t="s">
        <v>729</v>
      </c>
      <c r="B120" s="6" t="s">
        <v>665</v>
      </c>
      <c r="C120" s="6" t="s">
        <v>666</v>
      </c>
      <c r="D120" s="6" t="s">
        <v>723</v>
      </c>
      <c r="E120" s="6" t="s">
        <v>730</v>
      </c>
      <c r="F120" s="6" t="s">
        <v>731</v>
      </c>
      <c r="G120" s="6" t="s">
        <v>732</v>
      </c>
      <c r="H120" s="6" t="s">
        <v>733</v>
      </c>
      <c r="I120" s="6" t="s">
        <v>672</v>
      </c>
      <c r="J120" s="6" t="s">
        <v>49</v>
      </c>
      <c r="K120" s="6" t="s">
        <v>673</v>
      </c>
      <c r="L120" s="7" t="s">
        <v>51</v>
      </c>
      <c r="M120" s="8" t="str">
        <f t="shared" si="6"/>
        <v/>
      </c>
      <c r="N120" s="7"/>
      <c r="O120" s="7"/>
      <c r="P120" s="7"/>
      <c r="Q120" s="7"/>
      <c r="R120" s="7"/>
      <c r="S120" s="7"/>
      <c r="T120" s="9"/>
      <c r="U120" s="10" t="str">
        <f t="shared" si="7"/>
        <v/>
      </c>
      <c r="V120" s="6" t="s">
        <v>728</v>
      </c>
      <c r="W120" s="6" t="s">
        <v>53</v>
      </c>
      <c r="X120" s="6"/>
    </row>
    <row r="121" spans="1:24" ht="41.4">
      <c r="A121" s="6" t="s">
        <v>734</v>
      </c>
      <c r="B121" s="6" t="s">
        <v>665</v>
      </c>
      <c r="C121" s="6" t="s">
        <v>666</v>
      </c>
      <c r="D121" s="6" t="s">
        <v>735</v>
      </c>
      <c r="E121" s="6" t="s">
        <v>736</v>
      </c>
      <c r="F121" s="6" t="s">
        <v>737</v>
      </c>
      <c r="G121" s="6" t="s">
        <v>738</v>
      </c>
      <c r="H121" s="6" t="s">
        <v>739</v>
      </c>
      <c r="I121" s="6" t="s">
        <v>672</v>
      </c>
      <c r="J121" s="6" t="s">
        <v>49</v>
      </c>
      <c r="K121" s="6" t="s">
        <v>673</v>
      </c>
      <c r="L121" s="7" t="s">
        <v>51</v>
      </c>
      <c r="M121" s="8" t="str">
        <f t="shared" si="6"/>
        <v/>
      </c>
      <c r="N121" s="7"/>
      <c r="O121" s="7"/>
      <c r="P121" s="7"/>
      <c r="Q121" s="7"/>
      <c r="R121" s="7"/>
      <c r="S121" s="7"/>
      <c r="T121" s="9"/>
      <c r="U121" s="10" t="str">
        <f t="shared" si="7"/>
        <v/>
      </c>
      <c r="V121" s="6" t="s">
        <v>740</v>
      </c>
      <c r="W121" s="6" t="s">
        <v>53</v>
      </c>
      <c r="X121" s="6"/>
    </row>
    <row r="122" spans="1:24" ht="41.4">
      <c r="A122" s="6" t="s">
        <v>741</v>
      </c>
      <c r="B122" s="6" t="s">
        <v>665</v>
      </c>
      <c r="C122" s="6" t="s">
        <v>666</v>
      </c>
      <c r="D122" s="6" t="s">
        <v>735</v>
      </c>
      <c r="E122" s="6" t="s">
        <v>742</v>
      </c>
      <c r="F122" s="6" t="s">
        <v>743</v>
      </c>
      <c r="G122" s="6" t="s">
        <v>744</v>
      </c>
      <c r="H122" s="6" t="s">
        <v>745</v>
      </c>
      <c r="I122" s="6" t="s">
        <v>672</v>
      </c>
      <c r="J122" s="6" t="s">
        <v>49</v>
      </c>
      <c r="K122" s="6" t="s">
        <v>673</v>
      </c>
      <c r="L122" s="7" t="s">
        <v>51</v>
      </c>
      <c r="M122" s="8" t="str">
        <f t="shared" si="6"/>
        <v/>
      </c>
      <c r="N122" s="7"/>
      <c r="O122" s="7"/>
      <c r="P122" s="7"/>
      <c r="Q122" s="7"/>
      <c r="R122" s="7"/>
      <c r="S122" s="7"/>
      <c r="T122" s="9"/>
      <c r="U122" s="10" t="str">
        <f t="shared" si="7"/>
        <v/>
      </c>
      <c r="V122" s="6" t="s">
        <v>740</v>
      </c>
      <c r="W122" s="6" t="s">
        <v>53</v>
      </c>
      <c r="X122" s="6"/>
    </row>
    <row r="123" spans="1:24" ht="41.4">
      <c r="A123" s="6" t="s">
        <v>746</v>
      </c>
      <c r="B123" s="6" t="s">
        <v>665</v>
      </c>
      <c r="C123" s="6" t="s">
        <v>666</v>
      </c>
      <c r="D123" s="6" t="s">
        <v>735</v>
      </c>
      <c r="E123" s="6" t="s">
        <v>747</v>
      </c>
      <c r="F123" s="6" t="s">
        <v>748</v>
      </c>
      <c r="G123" s="6" t="s">
        <v>749</v>
      </c>
      <c r="H123" s="6" t="s">
        <v>750</v>
      </c>
      <c r="I123" s="6" t="s">
        <v>672</v>
      </c>
      <c r="J123" s="6" t="s">
        <v>49</v>
      </c>
      <c r="K123" s="6" t="s">
        <v>673</v>
      </c>
      <c r="L123" s="7" t="s">
        <v>51</v>
      </c>
      <c r="M123" s="8" t="str">
        <f t="shared" si="6"/>
        <v/>
      </c>
      <c r="N123" s="7"/>
      <c r="O123" s="7"/>
      <c r="P123" s="7"/>
      <c r="Q123" s="7"/>
      <c r="R123" s="7"/>
      <c r="S123" s="7"/>
      <c r="T123" s="9"/>
      <c r="U123" s="10" t="str">
        <f t="shared" si="7"/>
        <v/>
      </c>
      <c r="V123" s="6" t="s">
        <v>740</v>
      </c>
      <c r="W123" s="6" t="s">
        <v>53</v>
      </c>
      <c r="X123" s="6"/>
    </row>
    <row r="124" spans="1:24" ht="41.4">
      <c r="A124" s="6" t="s">
        <v>751</v>
      </c>
      <c r="B124" s="6" t="s">
        <v>665</v>
      </c>
      <c r="C124" s="6" t="s">
        <v>666</v>
      </c>
      <c r="D124" s="6" t="s">
        <v>735</v>
      </c>
      <c r="E124" s="6" t="s">
        <v>752</v>
      </c>
      <c r="F124" s="6" t="s">
        <v>753</v>
      </c>
      <c r="G124" s="6" t="s">
        <v>754</v>
      </c>
      <c r="H124" s="6" t="s">
        <v>755</v>
      </c>
      <c r="I124" s="6" t="s">
        <v>672</v>
      </c>
      <c r="J124" s="6" t="s">
        <v>49</v>
      </c>
      <c r="K124" s="6" t="s">
        <v>673</v>
      </c>
      <c r="L124" s="7" t="s">
        <v>51</v>
      </c>
      <c r="M124" s="8" t="str">
        <f t="shared" si="6"/>
        <v/>
      </c>
      <c r="N124" s="7"/>
      <c r="O124" s="7"/>
      <c r="P124" s="7"/>
      <c r="Q124" s="7"/>
      <c r="R124" s="7"/>
      <c r="S124" s="7"/>
      <c r="T124" s="9"/>
      <c r="U124" s="10" t="str">
        <f t="shared" si="7"/>
        <v/>
      </c>
      <c r="V124" s="6" t="s">
        <v>740</v>
      </c>
      <c r="W124" s="6" t="s">
        <v>53</v>
      </c>
      <c r="X124" s="6"/>
    </row>
    <row r="125" spans="1:24" ht="55.2">
      <c r="A125" s="6" t="s">
        <v>756</v>
      </c>
      <c r="B125" s="6" t="s">
        <v>665</v>
      </c>
      <c r="C125" s="6" t="s">
        <v>666</v>
      </c>
      <c r="D125" s="6" t="s">
        <v>735</v>
      </c>
      <c r="E125" s="6" t="s">
        <v>757</v>
      </c>
      <c r="F125" s="6" t="s">
        <v>758</v>
      </c>
      <c r="G125" s="6" t="s">
        <v>759</v>
      </c>
      <c r="H125" s="6" t="s">
        <v>760</v>
      </c>
      <c r="I125" s="6" t="s">
        <v>672</v>
      </c>
      <c r="J125" s="6" t="s">
        <v>49</v>
      </c>
      <c r="K125" s="6" t="s">
        <v>673</v>
      </c>
      <c r="L125" s="7" t="s">
        <v>51</v>
      </c>
      <c r="M125" s="8" t="str">
        <f t="shared" si="6"/>
        <v/>
      </c>
      <c r="N125" s="7"/>
      <c r="O125" s="7"/>
      <c r="P125" s="7"/>
      <c r="Q125" s="7"/>
      <c r="R125" s="7"/>
      <c r="S125" s="7"/>
      <c r="T125" s="9"/>
      <c r="U125" s="10" t="str">
        <f t="shared" si="7"/>
        <v/>
      </c>
      <c r="V125" s="6" t="s">
        <v>740</v>
      </c>
      <c r="W125" s="6" t="s">
        <v>53</v>
      </c>
      <c r="X125" s="6"/>
    </row>
    <row r="126" spans="1:24" ht="41.4">
      <c r="A126" s="6" t="s">
        <v>761</v>
      </c>
      <c r="B126" s="6" t="s">
        <v>665</v>
      </c>
      <c r="C126" s="6" t="s">
        <v>666</v>
      </c>
      <c r="D126" s="6" t="s">
        <v>735</v>
      </c>
      <c r="E126" s="6" t="s">
        <v>762</v>
      </c>
      <c r="F126" s="6" t="s">
        <v>763</v>
      </c>
      <c r="G126" s="6" t="s">
        <v>764</v>
      </c>
      <c r="H126" s="6" t="s">
        <v>765</v>
      </c>
      <c r="I126" s="6" t="s">
        <v>672</v>
      </c>
      <c r="J126" s="6" t="s">
        <v>49</v>
      </c>
      <c r="K126" s="6" t="s">
        <v>673</v>
      </c>
      <c r="L126" s="7" t="s">
        <v>51</v>
      </c>
      <c r="M126" s="8" t="str">
        <f t="shared" si="6"/>
        <v/>
      </c>
      <c r="N126" s="7"/>
      <c r="O126" s="7"/>
      <c r="P126" s="7"/>
      <c r="Q126" s="7"/>
      <c r="R126" s="7"/>
      <c r="S126" s="7"/>
      <c r="T126" s="9"/>
      <c r="U126" s="10" t="str">
        <f t="shared" si="7"/>
        <v/>
      </c>
      <c r="V126" s="6" t="s">
        <v>740</v>
      </c>
      <c r="W126" s="6" t="s">
        <v>53</v>
      </c>
      <c r="X126" s="6"/>
    </row>
    <row r="127" spans="1:24" ht="41.4">
      <c r="A127" s="6" t="s">
        <v>766</v>
      </c>
      <c r="B127" s="6" t="s">
        <v>665</v>
      </c>
      <c r="C127" s="6" t="s">
        <v>666</v>
      </c>
      <c r="D127" s="6" t="s">
        <v>767</v>
      </c>
      <c r="E127" s="6" t="s">
        <v>768</v>
      </c>
      <c r="F127" s="6" t="s">
        <v>769</v>
      </c>
      <c r="G127" s="6" t="s">
        <v>770</v>
      </c>
      <c r="H127" s="6" t="s">
        <v>771</v>
      </c>
      <c r="I127" s="6" t="s">
        <v>672</v>
      </c>
      <c r="J127" s="6" t="s">
        <v>49</v>
      </c>
      <c r="K127" s="6" t="s">
        <v>673</v>
      </c>
      <c r="L127" s="7" t="s">
        <v>51</v>
      </c>
      <c r="M127" s="8" t="str">
        <f t="shared" si="6"/>
        <v/>
      </c>
      <c r="N127" s="7"/>
      <c r="O127" s="7"/>
      <c r="P127" s="7"/>
      <c r="Q127" s="7"/>
      <c r="R127" s="7"/>
      <c r="S127" s="7"/>
      <c r="T127" s="9"/>
      <c r="U127" s="10" t="str">
        <f t="shared" si="7"/>
        <v/>
      </c>
      <c r="V127" s="6" t="s">
        <v>772</v>
      </c>
      <c r="W127" s="6" t="s">
        <v>53</v>
      </c>
      <c r="X127" s="6"/>
    </row>
    <row r="128" spans="1:24" ht="55.2">
      <c r="A128" s="6" t="s">
        <v>773</v>
      </c>
      <c r="B128" s="6" t="s">
        <v>665</v>
      </c>
      <c r="C128" s="6" t="s">
        <v>666</v>
      </c>
      <c r="D128" s="6" t="s">
        <v>767</v>
      </c>
      <c r="E128" s="6" t="s">
        <v>774</v>
      </c>
      <c r="F128" s="6" t="s">
        <v>775</v>
      </c>
      <c r="G128" s="6" t="s">
        <v>776</v>
      </c>
      <c r="H128" s="6" t="s">
        <v>777</v>
      </c>
      <c r="I128" s="6" t="s">
        <v>672</v>
      </c>
      <c r="J128" s="6" t="s">
        <v>49</v>
      </c>
      <c r="K128" s="6" t="s">
        <v>673</v>
      </c>
      <c r="L128" s="7" t="s">
        <v>51</v>
      </c>
      <c r="M128" s="8" t="str">
        <f t="shared" si="6"/>
        <v/>
      </c>
      <c r="N128" s="7"/>
      <c r="O128" s="7"/>
      <c r="P128" s="7"/>
      <c r="Q128" s="7"/>
      <c r="R128" s="7"/>
      <c r="S128" s="7"/>
      <c r="T128" s="9"/>
      <c r="U128" s="10" t="str">
        <f t="shared" si="7"/>
        <v/>
      </c>
      <c r="V128" s="6" t="s">
        <v>772</v>
      </c>
      <c r="W128" s="6" t="s">
        <v>53</v>
      </c>
      <c r="X128" s="6"/>
    </row>
    <row r="129" spans="1:24" ht="41.4">
      <c r="A129" s="6" t="s">
        <v>778</v>
      </c>
      <c r="B129" s="6" t="s">
        <v>665</v>
      </c>
      <c r="C129" s="6" t="s">
        <v>666</v>
      </c>
      <c r="D129" s="6" t="s">
        <v>767</v>
      </c>
      <c r="E129" s="6" t="s">
        <v>779</v>
      </c>
      <c r="F129" s="6" t="s">
        <v>780</v>
      </c>
      <c r="G129" s="6" t="s">
        <v>781</v>
      </c>
      <c r="H129" s="6" t="s">
        <v>782</v>
      </c>
      <c r="I129" s="6" t="s">
        <v>672</v>
      </c>
      <c r="J129" s="6" t="s">
        <v>49</v>
      </c>
      <c r="K129" s="6" t="s">
        <v>673</v>
      </c>
      <c r="L129" s="7" t="s">
        <v>51</v>
      </c>
      <c r="M129" s="8" t="str">
        <f t="shared" si="6"/>
        <v/>
      </c>
      <c r="N129" s="7"/>
      <c r="O129" s="7"/>
      <c r="P129" s="7"/>
      <c r="Q129" s="7"/>
      <c r="R129" s="7"/>
      <c r="S129" s="7"/>
      <c r="T129" s="9"/>
      <c r="U129" s="10" t="str">
        <f t="shared" si="7"/>
        <v/>
      </c>
      <c r="V129" s="6" t="s">
        <v>772</v>
      </c>
      <c r="W129" s="6" t="s">
        <v>53</v>
      </c>
      <c r="X129" s="6"/>
    </row>
    <row r="130" spans="1:24" ht="55.2">
      <c r="A130" s="6" t="s">
        <v>783</v>
      </c>
      <c r="B130" s="6" t="s">
        <v>665</v>
      </c>
      <c r="C130" s="6" t="s">
        <v>666</v>
      </c>
      <c r="D130" s="6" t="s">
        <v>767</v>
      </c>
      <c r="E130" s="6" t="s">
        <v>784</v>
      </c>
      <c r="F130" s="6" t="s">
        <v>785</v>
      </c>
      <c r="G130" s="6" t="s">
        <v>786</v>
      </c>
      <c r="H130" s="6" t="s">
        <v>787</v>
      </c>
      <c r="I130" s="6" t="s">
        <v>672</v>
      </c>
      <c r="J130" s="6" t="s">
        <v>49</v>
      </c>
      <c r="K130" s="6" t="s">
        <v>673</v>
      </c>
      <c r="L130" s="7" t="s">
        <v>51</v>
      </c>
      <c r="M130" s="8" t="str">
        <f t="shared" ref="M130:M148" si="8">IF(L130="Cumple",1,IF(L130="Cumple parcial",0.5,IF(L130="No cumple",0,"")))</f>
        <v/>
      </c>
      <c r="N130" s="7"/>
      <c r="O130" s="7"/>
      <c r="P130" s="7"/>
      <c r="Q130" s="7"/>
      <c r="R130" s="7"/>
      <c r="S130" s="7"/>
      <c r="T130" s="9"/>
      <c r="U130" s="10" t="str">
        <f t="shared" ref="U130:U148" si="9">IF(OR(L130="No cumple",L130="Cumple parcial"),"Sí",IF(L130="Cumple","No",""))</f>
        <v/>
      </c>
      <c r="V130" s="6" t="s">
        <v>772</v>
      </c>
      <c r="W130" s="6" t="s">
        <v>53</v>
      </c>
      <c r="X130" s="6"/>
    </row>
    <row r="131" spans="1:24" ht="41.4">
      <c r="A131" s="6" t="s">
        <v>788</v>
      </c>
      <c r="B131" s="6" t="s">
        <v>665</v>
      </c>
      <c r="C131" s="6" t="s">
        <v>666</v>
      </c>
      <c r="D131" s="6" t="s">
        <v>767</v>
      </c>
      <c r="E131" s="6" t="s">
        <v>789</v>
      </c>
      <c r="F131" s="6" t="s">
        <v>790</v>
      </c>
      <c r="G131" s="6" t="s">
        <v>791</v>
      </c>
      <c r="H131" s="6" t="s">
        <v>792</v>
      </c>
      <c r="I131" s="6" t="s">
        <v>672</v>
      </c>
      <c r="J131" s="6" t="s">
        <v>49</v>
      </c>
      <c r="K131" s="6" t="s">
        <v>673</v>
      </c>
      <c r="L131" s="7" t="s">
        <v>51</v>
      </c>
      <c r="M131" s="8" t="str">
        <f t="shared" si="8"/>
        <v/>
      </c>
      <c r="N131" s="7"/>
      <c r="O131" s="7"/>
      <c r="P131" s="7"/>
      <c r="Q131" s="7"/>
      <c r="R131" s="7"/>
      <c r="S131" s="7"/>
      <c r="T131" s="9"/>
      <c r="U131" s="10" t="str">
        <f t="shared" si="9"/>
        <v/>
      </c>
      <c r="V131" s="6" t="s">
        <v>772</v>
      </c>
      <c r="W131" s="6" t="s">
        <v>53</v>
      </c>
      <c r="X131" s="6"/>
    </row>
    <row r="132" spans="1:24" ht="41.4">
      <c r="A132" s="6" t="s">
        <v>793</v>
      </c>
      <c r="B132" s="6" t="s">
        <v>665</v>
      </c>
      <c r="C132" s="6" t="s">
        <v>666</v>
      </c>
      <c r="D132" s="6" t="s">
        <v>767</v>
      </c>
      <c r="E132" s="6" t="s">
        <v>794</v>
      </c>
      <c r="F132" s="6" t="s">
        <v>795</v>
      </c>
      <c r="G132" s="6" t="s">
        <v>796</v>
      </c>
      <c r="H132" s="6" t="s">
        <v>797</v>
      </c>
      <c r="I132" s="6" t="s">
        <v>672</v>
      </c>
      <c r="J132" s="6" t="s">
        <v>49</v>
      </c>
      <c r="K132" s="6" t="s">
        <v>673</v>
      </c>
      <c r="L132" s="7" t="s">
        <v>51</v>
      </c>
      <c r="M132" s="8" t="str">
        <f t="shared" si="8"/>
        <v/>
      </c>
      <c r="N132" s="7"/>
      <c r="O132" s="7"/>
      <c r="P132" s="7"/>
      <c r="Q132" s="7"/>
      <c r="R132" s="7"/>
      <c r="S132" s="7"/>
      <c r="T132" s="9"/>
      <c r="U132" s="10" t="str">
        <f t="shared" si="9"/>
        <v/>
      </c>
      <c r="V132" s="6" t="s">
        <v>772</v>
      </c>
      <c r="W132" s="6" t="s">
        <v>53</v>
      </c>
      <c r="X132" s="6"/>
    </row>
    <row r="133" spans="1:24" ht="41.4">
      <c r="A133" s="6" t="s">
        <v>798</v>
      </c>
      <c r="B133" s="6" t="s">
        <v>665</v>
      </c>
      <c r="C133" s="6" t="s">
        <v>666</v>
      </c>
      <c r="D133" s="6" t="s">
        <v>767</v>
      </c>
      <c r="E133" s="6" t="s">
        <v>799</v>
      </c>
      <c r="F133" s="6" t="s">
        <v>800</v>
      </c>
      <c r="G133" s="6" t="s">
        <v>801</v>
      </c>
      <c r="H133" s="6" t="s">
        <v>802</v>
      </c>
      <c r="I133" s="6" t="s">
        <v>672</v>
      </c>
      <c r="J133" s="6" t="s">
        <v>49</v>
      </c>
      <c r="K133" s="6" t="s">
        <v>673</v>
      </c>
      <c r="L133" s="7" t="s">
        <v>51</v>
      </c>
      <c r="M133" s="8" t="str">
        <f t="shared" si="8"/>
        <v/>
      </c>
      <c r="N133" s="7"/>
      <c r="O133" s="7"/>
      <c r="P133" s="7"/>
      <c r="Q133" s="7"/>
      <c r="R133" s="7"/>
      <c r="S133" s="7"/>
      <c r="T133" s="9"/>
      <c r="U133" s="10" t="str">
        <f t="shared" si="9"/>
        <v/>
      </c>
      <c r="V133" s="6" t="s">
        <v>772</v>
      </c>
      <c r="W133" s="6" t="s">
        <v>53</v>
      </c>
      <c r="X133" s="6"/>
    </row>
    <row r="134" spans="1:24" ht="41.4">
      <c r="A134" s="6" t="s">
        <v>803</v>
      </c>
      <c r="B134" s="6" t="s">
        <v>665</v>
      </c>
      <c r="C134" s="6" t="s">
        <v>666</v>
      </c>
      <c r="D134" s="6" t="s">
        <v>767</v>
      </c>
      <c r="E134" s="6" t="s">
        <v>804</v>
      </c>
      <c r="F134" s="6" t="s">
        <v>805</v>
      </c>
      <c r="G134" s="6" t="s">
        <v>806</v>
      </c>
      <c r="H134" s="6" t="s">
        <v>807</v>
      </c>
      <c r="I134" s="6" t="s">
        <v>672</v>
      </c>
      <c r="J134" s="6" t="s">
        <v>49</v>
      </c>
      <c r="K134" s="6" t="s">
        <v>673</v>
      </c>
      <c r="L134" s="7" t="s">
        <v>51</v>
      </c>
      <c r="M134" s="8" t="str">
        <f t="shared" si="8"/>
        <v/>
      </c>
      <c r="N134" s="7"/>
      <c r="O134" s="7"/>
      <c r="P134" s="7"/>
      <c r="Q134" s="7"/>
      <c r="R134" s="7"/>
      <c r="S134" s="7"/>
      <c r="T134" s="9"/>
      <c r="U134" s="10" t="str">
        <f t="shared" si="9"/>
        <v/>
      </c>
      <c r="V134" s="6" t="s">
        <v>772</v>
      </c>
      <c r="W134" s="6" t="s">
        <v>53</v>
      </c>
      <c r="X134" s="6"/>
    </row>
    <row r="135" spans="1:24" ht="41.4">
      <c r="A135" s="6" t="s">
        <v>808</v>
      </c>
      <c r="B135" s="6" t="s">
        <v>665</v>
      </c>
      <c r="C135" s="6" t="s">
        <v>666</v>
      </c>
      <c r="D135" s="6" t="s">
        <v>767</v>
      </c>
      <c r="E135" s="6" t="s">
        <v>809</v>
      </c>
      <c r="F135" s="6" t="s">
        <v>810</v>
      </c>
      <c r="G135" s="6" t="s">
        <v>811</v>
      </c>
      <c r="H135" s="6" t="s">
        <v>812</v>
      </c>
      <c r="I135" s="6" t="s">
        <v>672</v>
      </c>
      <c r="J135" s="6" t="s">
        <v>49</v>
      </c>
      <c r="K135" s="6" t="s">
        <v>673</v>
      </c>
      <c r="L135" s="7" t="s">
        <v>51</v>
      </c>
      <c r="M135" s="8" t="str">
        <f t="shared" si="8"/>
        <v/>
      </c>
      <c r="N135" s="7"/>
      <c r="O135" s="7"/>
      <c r="P135" s="7"/>
      <c r="Q135" s="7"/>
      <c r="R135" s="7"/>
      <c r="S135" s="7"/>
      <c r="T135" s="9"/>
      <c r="U135" s="10" t="str">
        <f t="shared" si="9"/>
        <v/>
      </c>
      <c r="V135" s="6" t="s">
        <v>772</v>
      </c>
      <c r="W135" s="6" t="s">
        <v>53</v>
      </c>
      <c r="X135" s="6"/>
    </row>
    <row r="136" spans="1:24" ht="41.4">
      <c r="A136" s="6" t="s">
        <v>813</v>
      </c>
      <c r="B136" s="6" t="s">
        <v>814</v>
      </c>
      <c r="C136" s="6" t="s">
        <v>815</v>
      </c>
      <c r="D136" s="6" t="s">
        <v>816</v>
      </c>
      <c r="E136" s="6" t="s">
        <v>794</v>
      </c>
      <c r="F136" s="6" t="s">
        <v>817</v>
      </c>
      <c r="G136" s="6" t="s">
        <v>818</v>
      </c>
      <c r="H136" s="6" t="s">
        <v>819</v>
      </c>
      <c r="I136" s="6" t="s">
        <v>820</v>
      </c>
      <c r="J136" s="6" t="s">
        <v>821</v>
      </c>
      <c r="K136" s="6" t="s">
        <v>822</v>
      </c>
      <c r="L136" s="7" t="s">
        <v>51</v>
      </c>
      <c r="M136" s="8" t="str">
        <f t="shared" si="8"/>
        <v/>
      </c>
      <c r="N136" s="7"/>
      <c r="O136" s="7"/>
      <c r="P136" s="7"/>
      <c r="Q136" s="7"/>
      <c r="R136" s="7"/>
      <c r="S136" s="7"/>
      <c r="T136" s="9"/>
      <c r="U136" s="10" t="str">
        <f t="shared" si="9"/>
        <v/>
      </c>
      <c r="V136" s="6" t="s">
        <v>823</v>
      </c>
      <c r="W136" s="6" t="s">
        <v>53</v>
      </c>
      <c r="X136" s="6"/>
    </row>
    <row r="137" spans="1:24" ht="41.4">
      <c r="A137" s="6" t="s">
        <v>824</v>
      </c>
      <c r="B137" s="6" t="s">
        <v>814</v>
      </c>
      <c r="C137" s="6" t="s">
        <v>815</v>
      </c>
      <c r="D137" s="6" t="s">
        <v>825</v>
      </c>
      <c r="E137" s="6" t="s">
        <v>826</v>
      </c>
      <c r="F137" s="6" t="s">
        <v>827</v>
      </c>
      <c r="G137" s="6" t="s">
        <v>828</v>
      </c>
      <c r="H137" s="6" t="s">
        <v>829</v>
      </c>
      <c r="I137" s="6" t="s">
        <v>820</v>
      </c>
      <c r="J137" s="6" t="s">
        <v>821</v>
      </c>
      <c r="K137" s="6" t="s">
        <v>822</v>
      </c>
      <c r="L137" s="7" t="s">
        <v>51</v>
      </c>
      <c r="M137" s="8" t="str">
        <f t="shared" si="8"/>
        <v/>
      </c>
      <c r="N137" s="7"/>
      <c r="O137" s="7"/>
      <c r="P137" s="7"/>
      <c r="Q137" s="7"/>
      <c r="R137" s="7"/>
      <c r="S137" s="7"/>
      <c r="T137" s="9"/>
      <c r="U137" s="10" t="str">
        <f t="shared" si="9"/>
        <v/>
      </c>
      <c r="V137" s="6" t="s">
        <v>830</v>
      </c>
      <c r="W137" s="6" t="s">
        <v>53</v>
      </c>
      <c r="X137" s="6"/>
    </row>
    <row r="138" spans="1:24" ht="41.4">
      <c r="A138" s="6" t="s">
        <v>831</v>
      </c>
      <c r="B138" s="6" t="s">
        <v>814</v>
      </c>
      <c r="C138" s="6" t="s">
        <v>815</v>
      </c>
      <c r="D138" s="6" t="s">
        <v>825</v>
      </c>
      <c r="E138" s="6" t="s">
        <v>832</v>
      </c>
      <c r="F138" s="6" t="s">
        <v>833</v>
      </c>
      <c r="G138" s="6" t="s">
        <v>834</v>
      </c>
      <c r="H138" s="6" t="s">
        <v>835</v>
      </c>
      <c r="I138" s="6" t="s">
        <v>820</v>
      </c>
      <c r="J138" s="6" t="s">
        <v>821</v>
      </c>
      <c r="K138" s="6" t="s">
        <v>822</v>
      </c>
      <c r="L138" s="7" t="s">
        <v>51</v>
      </c>
      <c r="M138" s="8" t="str">
        <f t="shared" si="8"/>
        <v/>
      </c>
      <c r="N138" s="7"/>
      <c r="O138" s="7"/>
      <c r="P138" s="7"/>
      <c r="Q138" s="7"/>
      <c r="R138" s="7"/>
      <c r="S138" s="7"/>
      <c r="T138" s="9"/>
      <c r="U138" s="10" t="str">
        <f t="shared" si="9"/>
        <v/>
      </c>
      <c r="V138" s="6" t="s">
        <v>830</v>
      </c>
      <c r="W138" s="6" t="s">
        <v>53</v>
      </c>
      <c r="X138" s="6"/>
    </row>
    <row r="139" spans="1:24" ht="27.6">
      <c r="A139" s="6" t="s">
        <v>836</v>
      </c>
      <c r="B139" s="6" t="s">
        <v>814</v>
      </c>
      <c r="C139" s="6" t="s">
        <v>815</v>
      </c>
      <c r="D139" s="6" t="s">
        <v>825</v>
      </c>
      <c r="E139" s="6" t="s">
        <v>837</v>
      </c>
      <c r="F139" s="6" t="s">
        <v>838</v>
      </c>
      <c r="G139" s="6" t="s">
        <v>839</v>
      </c>
      <c r="H139" s="6" t="s">
        <v>840</v>
      </c>
      <c r="I139" s="6" t="s">
        <v>820</v>
      </c>
      <c r="J139" s="6" t="s">
        <v>821</v>
      </c>
      <c r="K139" s="6" t="s">
        <v>822</v>
      </c>
      <c r="L139" s="7" t="s">
        <v>51</v>
      </c>
      <c r="M139" s="8" t="str">
        <f t="shared" si="8"/>
        <v/>
      </c>
      <c r="N139" s="7"/>
      <c r="O139" s="7"/>
      <c r="P139" s="7"/>
      <c r="Q139" s="7"/>
      <c r="R139" s="7"/>
      <c r="S139" s="7"/>
      <c r="T139" s="9"/>
      <c r="U139" s="10" t="str">
        <f t="shared" si="9"/>
        <v/>
      </c>
      <c r="V139" s="6" t="s">
        <v>830</v>
      </c>
      <c r="W139" s="6" t="s">
        <v>53</v>
      </c>
      <c r="X139" s="6"/>
    </row>
    <row r="140" spans="1:24" ht="27.6">
      <c r="A140" s="6" t="s">
        <v>841</v>
      </c>
      <c r="B140" s="6" t="s">
        <v>814</v>
      </c>
      <c r="C140" s="6" t="s">
        <v>815</v>
      </c>
      <c r="D140" s="6" t="s">
        <v>825</v>
      </c>
      <c r="E140" s="6" t="s">
        <v>842</v>
      </c>
      <c r="F140" s="6" t="s">
        <v>843</v>
      </c>
      <c r="G140" s="6" t="s">
        <v>844</v>
      </c>
      <c r="H140" s="6" t="s">
        <v>845</v>
      </c>
      <c r="I140" s="6" t="s">
        <v>820</v>
      </c>
      <c r="J140" s="6" t="s">
        <v>821</v>
      </c>
      <c r="K140" s="6" t="s">
        <v>822</v>
      </c>
      <c r="L140" s="7" t="s">
        <v>51</v>
      </c>
      <c r="M140" s="8" t="str">
        <f t="shared" si="8"/>
        <v/>
      </c>
      <c r="N140" s="7"/>
      <c r="O140" s="7"/>
      <c r="P140" s="7"/>
      <c r="Q140" s="7"/>
      <c r="R140" s="7"/>
      <c r="S140" s="7"/>
      <c r="T140" s="9"/>
      <c r="U140" s="10" t="str">
        <f t="shared" si="9"/>
        <v/>
      </c>
      <c r="V140" s="6" t="s">
        <v>830</v>
      </c>
      <c r="W140" s="6" t="s">
        <v>53</v>
      </c>
      <c r="X140" s="6"/>
    </row>
    <row r="141" spans="1:24" ht="27.6">
      <c r="A141" s="6" t="s">
        <v>846</v>
      </c>
      <c r="B141" s="6" t="s">
        <v>814</v>
      </c>
      <c r="C141" s="6" t="s">
        <v>815</v>
      </c>
      <c r="D141" s="6" t="s">
        <v>825</v>
      </c>
      <c r="E141" s="6" t="s">
        <v>847</v>
      </c>
      <c r="F141" s="6" t="s">
        <v>848</v>
      </c>
      <c r="G141" s="6" t="s">
        <v>849</v>
      </c>
      <c r="H141" s="6" t="s">
        <v>850</v>
      </c>
      <c r="I141" s="6" t="s">
        <v>820</v>
      </c>
      <c r="J141" s="6" t="s">
        <v>821</v>
      </c>
      <c r="K141" s="6" t="s">
        <v>822</v>
      </c>
      <c r="L141" s="7" t="s">
        <v>51</v>
      </c>
      <c r="M141" s="8" t="str">
        <f t="shared" si="8"/>
        <v/>
      </c>
      <c r="N141" s="7"/>
      <c r="O141" s="7"/>
      <c r="P141" s="7"/>
      <c r="Q141" s="7"/>
      <c r="R141" s="7"/>
      <c r="S141" s="7"/>
      <c r="T141" s="9"/>
      <c r="U141" s="10" t="str">
        <f t="shared" si="9"/>
        <v/>
      </c>
      <c r="V141" s="6" t="s">
        <v>830</v>
      </c>
      <c r="W141" s="6" t="s">
        <v>53</v>
      </c>
      <c r="X141" s="6"/>
    </row>
    <row r="142" spans="1:24" ht="27.6">
      <c r="A142" s="6" t="s">
        <v>851</v>
      </c>
      <c r="B142" s="6" t="s">
        <v>814</v>
      </c>
      <c r="C142" s="6" t="s">
        <v>815</v>
      </c>
      <c r="D142" s="6" t="s">
        <v>825</v>
      </c>
      <c r="E142" s="6" t="s">
        <v>852</v>
      </c>
      <c r="F142" s="6" t="s">
        <v>853</v>
      </c>
      <c r="G142" s="6" t="s">
        <v>854</v>
      </c>
      <c r="H142" s="6" t="s">
        <v>855</v>
      </c>
      <c r="I142" s="6" t="s">
        <v>820</v>
      </c>
      <c r="J142" s="6" t="s">
        <v>821</v>
      </c>
      <c r="K142" s="6" t="s">
        <v>822</v>
      </c>
      <c r="L142" s="7" t="s">
        <v>51</v>
      </c>
      <c r="M142" s="8" t="str">
        <f t="shared" si="8"/>
        <v/>
      </c>
      <c r="N142" s="7"/>
      <c r="O142" s="7"/>
      <c r="P142" s="7"/>
      <c r="Q142" s="7"/>
      <c r="R142" s="7"/>
      <c r="S142" s="7"/>
      <c r="T142" s="9"/>
      <c r="U142" s="10" t="str">
        <f t="shared" si="9"/>
        <v/>
      </c>
      <c r="V142" s="6" t="s">
        <v>830</v>
      </c>
      <c r="W142" s="6" t="s">
        <v>53</v>
      </c>
      <c r="X142" s="6"/>
    </row>
    <row r="143" spans="1:24" ht="27.6">
      <c r="A143" s="6" t="s">
        <v>856</v>
      </c>
      <c r="B143" s="6" t="s">
        <v>814</v>
      </c>
      <c r="C143" s="6" t="s">
        <v>815</v>
      </c>
      <c r="D143" s="6" t="s">
        <v>825</v>
      </c>
      <c r="E143" s="6" t="s">
        <v>857</v>
      </c>
      <c r="F143" s="6" t="s">
        <v>858</v>
      </c>
      <c r="G143" s="6" t="s">
        <v>859</v>
      </c>
      <c r="H143" s="6" t="s">
        <v>860</v>
      </c>
      <c r="I143" s="6" t="s">
        <v>820</v>
      </c>
      <c r="J143" s="6" t="s">
        <v>821</v>
      </c>
      <c r="K143" s="6" t="s">
        <v>822</v>
      </c>
      <c r="L143" s="7" t="s">
        <v>51</v>
      </c>
      <c r="M143" s="8" t="str">
        <f t="shared" si="8"/>
        <v/>
      </c>
      <c r="N143" s="7"/>
      <c r="O143" s="7"/>
      <c r="P143" s="7"/>
      <c r="Q143" s="7"/>
      <c r="R143" s="7"/>
      <c r="S143" s="7"/>
      <c r="T143" s="9"/>
      <c r="U143" s="10" t="str">
        <f t="shared" si="9"/>
        <v/>
      </c>
      <c r="V143" s="6" t="s">
        <v>830</v>
      </c>
      <c r="W143" s="6" t="s">
        <v>53</v>
      </c>
      <c r="X143" s="6"/>
    </row>
    <row r="144" spans="1:24" ht="41.4">
      <c r="A144" s="6" t="s">
        <v>861</v>
      </c>
      <c r="B144" s="6" t="s">
        <v>814</v>
      </c>
      <c r="C144" s="6" t="s">
        <v>815</v>
      </c>
      <c r="D144" s="6" t="s">
        <v>825</v>
      </c>
      <c r="E144" s="6" t="s">
        <v>862</v>
      </c>
      <c r="F144" s="6" t="s">
        <v>863</v>
      </c>
      <c r="G144" s="6" t="s">
        <v>864</v>
      </c>
      <c r="H144" s="6" t="s">
        <v>865</v>
      </c>
      <c r="I144" s="6" t="s">
        <v>820</v>
      </c>
      <c r="J144" s="6" t="s">
        <v>821</v>
      </c>
      <c r="K144" s="6" t="s">
        <v>822</v>
      </c>
      <c r="L144" s="7" t="s">
        <v>51</v>
      </c>
      <c r="M144" s="8" t="str">
        <f t="shared" si="8"/>
        <v/>
      </c>
      <c r="N144" s="7"/>
      <c r="O144" s="7"/>
      <c r="P144" s="7"/>
      <c r="Q144" s="7"/>
      <c r="R144" s="7"/>
      <c r="S144" s="7"/>
      <c r="T144" s="9"/>
      <c r="U144" s="10" t="str">
        <f t="shared" si="9"/>
        <v/>
      </c>
      <c r="V144" s="6" t="s">
        <v>830</v>
      </c>
      <c r="W144" s="6" t="s">
        <v>53</v>
      </c>
      <c r="X144" s="6"/>
    </row>
    <row r="145" spans="1:24" ht="27.6">
      <c r="A145" s="6" t="s">
        <v>866</v>
      </c>
      <c r="B145" s="6" t="s">
        <v>814</v>
      </c>
      <c r="C145" s="6" t="s">
        <v>815</v>
      </c>
      <c r="D145" s="6" t="s">
        <v>867</v>
      </c>
      <c r="E145" s="6" t="s">
        <v>868</v>
      </c>
      <c r="F145" s="6" t="s">
        <v>869</v>
      </c>
      <c r="G145" s="6" t="s">
        <v>870</v>
      </c>
      <c r="H145" s="6" t="s">
        <v>871</v>
      </c>
      <c r="I145" s="6" t="s">
        <v>820</v>
      </c>
      <c r="J145" s="6" t="s">
        <v>821</v>
      </c>
      <c r="K145" s="6" t="s">
        <v>822</v>
      </c>
      <c r="L145" s="7" t="s">
        <v>51</v>
      </c>
      <c r="M145" s="8" t="str">
        <f t="shared" si="8"/>
        <v/>
      </c>
      <c r="N145" s="7"/>
      <c r="O145" s="7"/>
      <c r="P145" s="7"/>
      <c r="Q145" s="7"/>
      <c r="R145" s="7"/>
      <c r="S145" s="7"/>
      <c r="T145" s="9"/>
      <c r="U145" s="10" t="str">
        <f t="shared" si="9"/>
        <v/>
      </c>
      <c r="V145" s="6" t="s">
        <v>872</v>
      </c>
      <c r="W145" s="6" t="s">
        <v>53</v>
      </c>
      <c r="X145" s="6"/>
    </row>
    <row r="146" spans="1:24" ht="27.6">
      <c r="A146" s="6" t="s">
        <v>873</v>
      </c>
      <c r="B146" s="6" t="s">
        <v>814</v>
      </c>
      <c r="C146" s="6" t="s">
        <v>815</v>
      </c>
      <c r="D146" s="6" t="s">
        <v>867</v>
      </c>
      <c r="E146" s="6" t="s">
        <v>874</v>
      </c>
      <c r="F146" s="6" t="s">
        <v>875</v>
      </c>
      <c r="G146" s="6" t="s">
        <v>876</v>
      </c>
      <c r="H146" s="6" t="s">
        <v>877</v>
      </c>
      <c r="I146" s="6" t="s">
        <v>820</v>
      </c>
      <c r="J146" s="6" t="s">
        <v>821</v>
      </c>
      <c r="K146" s="6" t="s">
        <v>822</v>
      </c>
      <c r="L146" s="7" t="s">
        <v>51</v>
      </c>
      <c r="M146" s="8" t="str">
        <f t="shared" si="8"/>
        <v/>
      </c>
      <c r="N146" s="7"/>
      <c r="O146" s="7"/>
      <c r="P146" s="7"/>
      <c r="Q146" s="7"/>
      <c r="R146" s="7"/>
      <c r="S146" s="7"/>
      <c r="T146" s="9"/>
      <c r="U146" s="10" t="str">
        <f t="shared" si="9"/>
        <v/>
      </c>
      <c r="V146" s="6" t="s">
        <v>872</v>
      </c>
      <c r="W146" s="6" t="s">
        <v>53</v>
      </c>
      <c r="X146" s="6"/>
    </row>
    <row r="147" spans="1:24" ht="27.6">
      <c r="A147" s="6" t="s">
        <v>878</v>
      </c>
      <c r="B147" s="6" t="s">
        <v>814</v>
      </c>
      <c r="C147" s="6" t="s">
        <v>815</v>
      </c>
      <c r="D147" s="6" t="s">
        <v>867</v>
      </c>
      <c r="E147" s="6" t="s">
        <v>879</v>
      </c>
      <c r="F147" s="6" t="s">
        <v>880</v>
      </c>
      <c r="G147" s="6" t="s">
        <v>881</v>
      </c>
      <c r="H147" s="6" t="s">
        <v>882</v>
      </c>
      <c r="I147" s="6" t="s">
        <v>820</v>
      </c>
      <c r="J147" s="6" t="s">
        <v>821</v>
      </c>
      <c r="K147" s="6" t="s">
        <v>822</v>
      </c>
      <c r="L147" s="7" t="s">
        <v>51</v>
      </c>
      <c r="M147" s="8" t="str">
        <f t="shared" si="8"/>
        <v/>
      </c>
      <c r="N147" s="7"/>
      <c r="O147" s="7"/>
      <c r="P147" s="7"/>
      <c r="Q147" s="7"/>
      <c r="R147" s="7"/>
      <c r="S147" s="7"/>
      <c r="T147" s="9"/>
      <c r="U147" s="10" t="str">
        <f t="shared" si="9"/>
        <v/>
      </c>
      <c r="V147" s="6" t="s">
        <v>872</v>
      </c>
      <c r="W147" s="6" t="s">
        <v>53</v>
      </c>
      <c r="X147" s="6"/>
    </row>
    <row r="148" spans="1:24" ht="41.4">
      <c r="A148" s="6" t="s">
        <v>883</v>
      </c>
      <c r="B148" s="6" t="s">
        <v>814</v>
      </c>
      <c r="C148" s="6" t="s">
        <v>815</v>
      </c>
      <c r="D148" s="6" t="s">
        <v>867</v>
      </c>
      <c r="E148" s="6" t="s">
        <v>884</v>
      </c>
      <c r="F148" s="6" t="s">
        <v>885</v>
      </c>
      <c r="G148" s="6" t="s">
        <v>886</v>
      </c>
      <c r="H148" s="6" t="s">
        <v>887</v>
      </c>
      <c r="I148" s="6" t="s">
        <v>820</v>
      </c>
      <c r="J148" s="6" t="s">
        <v>821</v>
      </c>
      <c r="K148" s="6" t="s">
        <v>822</v>
      </c>
      <c r="L148" s="7" t="s">
        <v>51</v>
      </c>
      <c r="M148" s="8" t="str">
        <f t="shared" si="8"/>
        <v/>
      </c>
      <c r="N148" s="7"/>
      <c r="O148" s="7"/>
      <c r="P148" s="7"/>
      <c r="Q148" s="7"/>
      <c r="R148" s="7"/>
      <c r="S148" s="7"/>
      <c r="T148" s="9"/>
      <c r="U148" s="10" t="str">
        <f t="shared" si="9"/>
        <v/>
      </c>
      <c r="V148" s="6" t="s">
        <v>872</v>
      </c>
      <c r="W148" s="6" t="s">
        <v>53</v>
      </c>
      <c r="X148" s="6"/>
    </row>
    <row r="149" spans="1:24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</sheetData>
  <conditionalFormatting sqref="L2:L148">
    <cfRule type="expression" dxfId="7" priority="1">
      <formula>L2="Cumple"</formula>
    </cfRule>
    <cfRule type="expression" dxfId="6" priority="2">
      <formula>L2="Cumple parcial"</formula>
    </cfRule>
    <cfRule type="expression" dxfId="5" priority="3">
      <formula>L2="No cumple"</formula>
    </cfRule>
    <cfRule type="expression" dxfId="4" priority="4">
      <formula>L2="No aplica"</formula>
    </cfRule>
    <cfRule type="expression" dxfId="3" priority="5">
      <formula>L2="No evaluado"</formula>
    </cfRule>
  </conditionalFormatting>
  <conditionalFormatting sqref="O2:O148">
    <cfRule type="expression" dxfId="2" priority="6">
      <formula>O2="Alta"</formula>
    </cfRule>
    <cfRule type="expression" dxfId="1" priority="7">
      <formula>O2="Media"</formula>
    </cfRule>
    <cfRule type="expression" dxfId="0" priority="8">
      <formula>O2="Baja"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Catalogos!$A$2:$A$6</xm:f>
          </x14:formula1>
          <xm:sqref>L2:L148</xm:sqref>
        </x14:dataValidation>
        <x14:dataValidation type="list" xr:uid="{00000000-0002-0000-0100-000001000000}">
          <x14:formula1>
            <xm:f>Catalogos!$B$2:$B$6</xm:f>
          </x14:formula1>
          <xm:sqref>N2:N148</xm:sqref>
        </x14:dataValidation>
        <x14:dataValidation type="list" xr:uid="{00000000-0002-0000-0100-000002000000}">
          <x14:formula1>
            <xm:f>Catalogos!$C$2:$C$5</xm:f>
          </x14:formula1>
          <xm:sqref>O2:O148</xm:sqref>
        </x14:dataValidation>
        <x14:dataValidation type="list" xr:uid="{00000000-0002-0000-0100-000003000000}">
          <x14:formula1>
            <xm:f>Catalogos!$D$2:$D$9</xm:f>
          </x14:formula1>
          <xm:sqref>J2:J148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"/>
  <sheetViews>
    <sheetView zoomScaleNormal="100" zoomScaleSheetLayoutView="100" workbookViewId="0">
      <selection activeCell="E15" sqref="E15"/>
    </sheetView>
  </sheetViews>
  <sheetFormatPr baseColWidth="10" defaultColWidth="8.796875" defaultRowHeight="13.8"/>
  <cols>
    <col min="1" max="1" width="110" customWidth="1"/>
  </cols>
  <sheetData>
    <row r="1" spans="1:25" ht="30" customHeight="1">
      <c r="A1" s="1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7.6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3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3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7.6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3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3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4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3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4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3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4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4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4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4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4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0"/>
  <sheetViews>
    <sheetView zoomScaleNormal="100" zoomScaleSheetLayoutView="100" workbookViewId="0">
      <selection activeCell="B11" sqref="B11"/>
    </sheetView>
  </sheetViews>
  <sheetFormatPr baseColWidth="10" defaultColWidth="8.796875" defaultRowHeight="13.8"/>
  <cols>
    <col min="1" max="3" width="18" customWidth="1"/>
    <col min="4" max="4" width="32" customWidth="1"/>
    <col min="5" max="11" width="18" customWidth="1"/>
  </cols>
  <sheetData>
    <row r="1" spans="1:25" ht="21">
      <c r="A1" s="16" t="s">
        <v>888</v>
      </c>
      <c r="B1" s="16"/>
      <c r="C1" s="16"/>
      <c r="D1" s="16"/>
      <c r="E1" s="16"/>
      <c r="F1" s="16"/>
      <c r="G1" s="16"/>
      <c r="H1" s="1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>
      <c r="A3" s="4" t="s">
        <v>889</v>
      </c>
      <c r="B3" s="3">
        <f>COUNTA('lista de verificación'!$A$2:$A$148)</f>
        <v>147</v>
      </c>
      <c r="C3" s="3"/>
      <c r="D3" s="1" t="s">
        <v>18</v>
      </c>
      <c r="E3" s="1" t="s">
        <v>890</v>
      </c>
      <c r="F3" s="1" t="s">
        <v>891</v>
      </c>
      <c r="G3" s="1" t="s">
        <v>892</v>
      </c>
      <c r="H3" s="1" t="s">
        <v>893</v>
      </c>
      <c r="I3" s="1" t="s">
        <v>894</v>
      </c>
      <c r="J3" s="1" t="s">
        <v>895</v>
      </c>
      <c r="K3" s="1" t="s">
        <v>896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4" t="s">
        <v>897</v>
      </c>
      <c r="B4" s="3">
        <f>COUNTIF('lista de verificación'!$L$2:$L$148,"Cumple")+COUNTIF('lista de verificación'!$L$2:$L$148,"Cumple parcial")+COUNTIF('lista de verificación'!$L$2:$L$148,"No cumple")+COUNTIF('lista de verificación'!$L$2:$L$148,"No aplica")</f>
        <v>0</v>
      </c>
      <c r="C4" s="3"/>
      <c r="D4" s="3" t="s">
        <v>42</v>
      </c>
      <c r="E4" s="3">
        <f>COUNTIF('lista de verificación'!$C$2:$C$148,D4)</f>
        <v>7</v>
      </c>
      <c r="F4" s="3">
        <f>COUNTIFS('lista de verificación'!$C$2:$C$148,D4,'lista de verificación'!$L$2:$L$148,"Cumple")+COUNTIFS('lista de verificación'!$C$2:$C$148,D4,'lista de verificación'!$L$2:$L$148,"Cumple parcial")+COUNTIFS('lista de verificación'!$C$2:$C$148,D4,'lista de verificación'!$L$2:$L$148,"No cumple")+COUNTIFS('lista de verificación'!$C$2:$C$148,D4,'lista de verificación'!$L$2:$L$148,"No aplica")</f>
        <v>0</v>
      </c>
      <c r="G4" s="3">
        <f>COUNTIFS('lista de verificación'!$C$2:$C$148,D4,'lista de verificación'!$L$2:$L$148,"Cumple")</f>
        <v>0</v>
      </c>
      <c r="H4" s="3">
        <f>COUNTIFS('lista de verificación'!$C$2:$C$148,D4,'lista de verificación'!$L$2:$L$148,"Cumple parcial")</f>
        <v>0</v>
      </c>
      <c r="I4" s="3">
        <f>COUNTIFS('lista de verificación'!$C$2:$C$148,D4,'lista de verificación'!$L$2:$L$148,"No cumple")</f>
        <v>0</v>
      </c>
      <c r="J4" s="3">
        <f>COUNTIFS('lista de verificación'!$C$2:$C$148,D4,'lista de verificación'!$L$2:$L$148,"No aplica")</f>
        <v>0</v>
      </c>
      <c r="K4" s="12">
        <f>IFERROR(SUMIFS('lista de verificación'!$M$2:$M$148,'lista de verificación'!$C$2:$C$148,D4)/COUNTIFS('lista de verificación'!$C$2:$C$148,D4,'lista de verificación'!$M$2:$M$148,"&gt;=0"),0)</f>
        <v>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7.6">
      <c r="A5" s="4" t="s">
        <v>898</v>
      </c>
      <c r="B5" s="3">
        <f>COUNTIF('lista de verificación'!$L$2:$L$148,"No evaluado")+COUNTBLANK('lista de verificación'!$L$2:$L$148)</f>
        <v>147</v>
      </c>
      <c r="C5" s="3"/>
      <c r="D5" s="3" t="s">
        <v>92</v>
      </c>
      <c r="E5" s="3">
        <f>COUNTIF('lista de verificación'!$C$2:$C$148,D5)</f>
        <v>21</v>
      </c>
      <c r="F5" s="3">
        <f>COUNTIFS('lista de verificación'!$C$2:$C$148,D5,'lista de verificación'!$L$2:$L$148,"Cumple")+COUNTIFS('lista de verificación'!$C$2:$C$148,D5,'lista de verificación'!$L$2:$L$148,"Cumple parcial")+COUNTIFS('lista de verificación'!$C$2:$C$148,D5,'lista de verificación'!$L$2:$L$148,"No cumple")+COUNTIFS('lista de verificación'!$C$2:$C$148,D5,'lista de verificación'!$L$2:$L$148,"No aplica")</f>
        <v>0</v>
      </c>
      <c r="G5" s="3">
        <f>COUNTIFS('lista de verificación'!$C$2:$C$148,D5,'lista de verificación'!$L$2:$L$148,"Cumple")</f>
        <v>0</v>
      </c>
      <c r="H5" s="3">
        <f>COUNTIFS('lista de verificación'!$C$2:$C$148,D5,'lista de verificación'!$L$2:$L$148,"Cumple parcial")</f>
        <v>0</v>
      </c>
      <c r="I5" s="3">
        <f>COUNTIFS('lista de verificación'!$C$2:$C$148,D5,'lista de verificación'!$L$2:$L$148,"No cumple")</f>
        <v>0</v>
      </c>
      <c r="J5" s="3">
        <f>COUNTIFS('lista de verificación'!$C$2:$C$148,D5,'lista de verificación'!$L$2:$L$148,"No aplica")</f>
        <v>0</v>
      </c>
      <c r="K5" s="12">
        <f>IFERROR(SUMIFS('lista de verificación'!$M$2:$M$148,'lista de verificación'!$C$2:$C$148,D5)/COUNTIFS('lista de verificación'!$C$2:$C$148,D5,'lista de verificación'!$M$2:$M$148,"&gt;=0"),0)</f>
        <v>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4" t="s">
        <v>899</v>
      </c>
      <c r="B6" s="12">
        <f>IFERROR(B4/B3,0)</f>
        <v>0</v>
      </c>
      <c r="C6" s="3"/>
      <c r="D6" s="3" t="s">
        <v>210</v>
      </c>
      <c r="E6" s="3">
        <f>COUNTIF('lista de verificación'!$C$2:$C$148,D6)</f>
        <v>32</v>
      </c>
      <c r="F6" s="3">
        <f>COUNTIFS('lista de verificación'!$C$2:$C$148,D6,'lista de verificación'!$L$2:$L$148,"Cumple")+COUNTIFS('lista de verificación'!$C$2:$C$148,D6,'lista de verificación'!$L$2:$L$148,"Cumple parcial")+COUNTIFS('lista de verificación'!$C$2:$C$148,D6,'lista de verificación'!$L$2:$L$148,"No cumple")+COUNTIFS('lista de verificación'!$C$2:$C$148,D6,'lista de verificación'!$L$2:$L$148,"No aplica")</f>
        <v>0</v>
      </c>
      <c r="G6" s="3">
        <f>COUNTIFS('lista de verificación'!$C$2:$C$148,D6,'lista de verificación'!$L$2:$L$148,"Cumple")</f>
        <v>0</v>
      </c>
      <c r="H6" s="3">
        <f>COUNTIFS('lista de verificación'!$C$2:$C$148,D6,'lista de verificación'!$L$2:$L$148,"Cumple parcial")</f>
        <v>0</v>
      </c>
      <c r="I6" s="3">
        <f>COUNTIFS('lista de verificación'!$C$2:$C$148,D6,'lista de verificación'!$L$2:$L$148,"No cumple")</f>
        <v>0</v>
      </c>
      <c r="J6" s="3">
        <f>COUNTIFS('lista de verificación'!$C$2:$C$148,D6,'lista de verificación'!$L$2:$L$148,"No aplica")</f>
        <v>0</v>
      </c>
      <c r="K6" s="12">
        <f>IFERROR(SUMIFS('lista de verificación'!$M$2:$M$148,'lista de verificación'!$C$2:$C$148,D6)/COUNTIFS('lista de verificación'!$C$2:$C$148,D6,'lista de verificación'!$M$2:$M$148,"&gt;=0"),0)</f>
        <v>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7.6">
      <c r="A7" s="4" t="s">
        <v>900</v>
      </c>
      <c r="B7" s="12">
        <f>IFERROR(SUM('lista de verificación'!$M$2:$M$148)/COUNT('lista de verificación'!$M$2:$M$148),0)</f>
        <v>0</v>
      </c>
      <c r="C7" s="3"/>
      <c r="D7" s="3" t="s">
        <v>391</v>
      </c>
      <c r="E7" s="3">
        <f>COUNTIF('lista de verificación'!$C$2:$C$148,D7)</f>
        <v>23</v>
      </c>
      <c r="F7" s="3">
        <f>COUNTIFS('lista de verificación'!$C$2:$C$148,D7,'lista de verificación'!$L$2:$L$148,"Cumple")+COUNTIFS('lista de verificación'!$C$2:$C$148,D7,'lista de verificación'!$L$2:$L$148,"Cumple parcial")+COUNTIFS('lista de verificación'!$C$2:$C$148,D7,'lista de verificación'!$L$2:$L$148,"No cumple")+COUNTIFS('lista de verificación'!$C$2:$C$148,D7,'lista de verificación'!$L$2:$L$148,"No aplica")</f>
        <v>0</v>
      </c>
      <c r="G7" s="3">
        <f>COUNTIFS('lista de verificación'!$C$2:$C$148,D7,'lista de verificación'!$L$2:$L$148,"Cumple")</f>
        <v>0</v>
      </c>
      <c r="H7" s="3">
        <f>COUNTIFS('lista de verificación'!$C$2:$C$148,D7,'lista de verificación'!$L$2:$L$148,"Cumple parcial")</f>
        <v>0</v>
      </c>
      <c r="I7" s="3">
        <f>COUNTIFS('lista de verificación'!$C$2:$C$148,D7,'lista de verificación'!$L$2:$L$148,"No cumple")</f>
        <v>0</v>
      </c>
      <c r="J7" s="3">
        <f>COUNTIFS('lista de verificación'!$C$2:$C$148,D7,'lista de verificación'!$L$2:$L$148,"No aplica")</f>
        <v>0</v>
      </c>
      <c r="K7" s="12">
        <f>IFERROR(SUMIFS('lista de verificación'!$M$2:$M$148,'lista de verificación'!$C$2:$C$148,D7)/COUNTIFS('lista de verificación'!$C$2:$C$148,D7,'lista de verificación'!$M$2:$M$148,"&gt;=0"),0)</f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7.6">
      <c r="A8" s="4" t="s">
        <v>901</v>
      </c>
      <c r="B8" s="3">
        <f>COUNTIF('lista de verificación'!$L$2:$L$148,"No cumple")+COUNTIF('lista de verificación'!$L$2:$L$148,"Cumple parcial")</f>
        <v>0</v>
      </c>
      <c r="C8" s="3"/>
      <c r="D8" s="3" t="s">
        <v>527</v>
      </c>
      <c r="E8" s="3">
        <f>COUNTIF('lista de verificación'!$C$2:$C$148,D8)</f>
        <v>24</v>
      </c>
      <c r="F8" s="3">
        <f>COUNTIFS('lista de verificación'!$C$2:$C$148,D8,'lista de verificación'!$L$2:$L$148,"Cumple")+COUNTIFS('lista de verificación'!$C$2:$C$148,D8,'lista de verificación'!$L$2:$L$148,"Cumple parcial")+COUNTIFS('lista de verificación'!$C$2:$C$148,D8,'lista de verificación'!$L$2:$L$148,"No cumple")+COUNTIFS('lista de verificación'!$C$2:$C$148,D8,'lista de verificación'!$L$2:$L$148,"No aplica")</f>
        <v>0</v>
      </c>
      <c r="G8" s="3">
        <f>COUNTIFS('lista de verificación'!$C$2:$C$148,D8,'lista de verificación'!$L$2:$L$148,"Cumple")</f>
        <v>0</v>
      </c>
      <c r="H8" s="3">
        <f>COUNTIFS('lista de verificación'!$C$2:$C$148,D8,'lista de verificación'!$L$2:$L$148,"Cumple parcial")</f>
        <v>0</v>
      </c>
      <c r="I8" s="3">
        <f>COUNTIFS('lista de verificación'!$C$2:$C$148,D8,'lista de verificación'!$L$2:$L$148,"No cumple")</f>
        <v>0</v>
      </c>
      <c r="J8" s="3">
        <f>COUNTIFS('lista de verificación'!$C$2:$C$148,D8,'lista de verificación'!$L$2:$L$148,"No aplica")</f>
        <v>0</v>
      </c>
      <c r="K8" s="12">
        <f>IFERROR(SUMIFS('lista de verificación'!$M$2:$M$148,'lista de verificación'!$C$2:$C$148,D8)/COUNTIFS('lista de verificación'!$C$2:$C$148,D8,'lista de verificación'!$M$2:$M$148,"&gt;=0"),0)</f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3"/>
      <c r="B9" s="3"/>
      <c r="C9" s="3"/>
      <c r="D9" s="3" t="s">
        <v>666</v>
      </c>
      <c r="E9" s="3">
        <f>COUNTIF('lista de verificación'!$C$2:$C$148,D9)</f>
        <v>27</v>
      </c>
      <c r="F9" s="3">
        <f>COUNTIFS('lista de verificación'!$C$2:$C$148,D9,'lista de verificación'!$L$2:$L$148,"Cumple")+COUNTIFS('lista de verificación'!$C$2:$C$148,D9,'lista de verificación'!$L$2:$L$148,"Cumple parcial")+COUNTIFS('lista de verificación'!$C$2:$C$148,D9,'lista de verificación'!$L$2:$L$148,"No cumple")+COUNTIFS('lista de verificación'!$C$2:$C$148,D9,'lista de verificación'!$L$2:$L$148,"No aplica")</f>
        <v>0</v>
      </c>
      <c r="G9" s="3">
        <f>COUNTIFS('lista de verificación'!$C$2:$C$148,D9,'lista de verificación'!$L$2:$L$148,"Cumple")</f>
        <v>0</v>
      </c>
      <c r="H9" s="3">
        <f>COUNTIFS('lista de verificación'!$C$2:$C$148,D9,'lista de verificación'!$L$2:$L$148,"Cumple parcial")</f>
        <v>0</v>
      </c>
      <c r="I9" s="3">
        <f>COUNTIFS('lista de verificación'!$C$2:$C$148,D9,'lista de verificación'!$L$2:$L$148,"No cumple")</f>
        <v>0</v>
      </c>
      <c r="J9" s="3">
        <f>COUNTIFS('lista de verificación'!$C$2:$C$148,D9,'lista de verificación'!$L$2:$L$148,"No aplica")</f>
        <v>0</v>
      </c>
      <c r="K9" s="12">
        <f>IFERROR(SUMIFS('lista de verificación'!$M$2:$M$148,'lista de verificación'!$C$2:$C$148,D9)/COUNTIFS('lista de verificación'!$C$2:$C$148,D9,'lista de verificación'!$M$2:$M$148,"&gt;=0"),0)</f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" t="s">
        <v>27</v>
      </c>
      <c r="B10" s="1" t="s">
        <v>902</v>
      </c>
      <c r="C10" s="3"/>
      <c r="D10" s="3" t="s">
        <v>815</v>
      </c>
      <c r="E10" s="3">
        <f>COUNTIF('lista de verificación'!$C$2:$C$148,D10)</f>
        <v>13</v>
      </c>
      <c r="F10" s="3">
        <f>COUNTIFS('lista de verificación'!$C$2:$C$148,D10,'lista de verificación'!$L$2:$L$148,"Cumple")+COUNTIFS('lista de verificación'!$C$2:$C$148,D10,'lista de verificación'!$L$2:$L$148,"Cumple parcial")+COUNTIFS('lista de verificación'!$C$2:$C$148,D10,'lista de verificación'!$L$2:$L$148,"No cumple")+COUNTIFS('lista de verificación'!$C$2:$C$148,D10,'lista de verificación'!$L$2:$L$148,"No aplica")</f>
        <v>0</v>
      </c>
      <c r="G10" s="3">
        <f>COUNTIFS('lista de verificación'!$C$2:$C$148,D10,'lista de verificación'!$L$2:$L$148,"Cumple")</f>
        <v>0</v>
      </c>
      <c r="H10" s="3">
        <f>COUNTIFS('lista de verificación'!$C$2:$C$148,D10,'lista de verificación'!$L$2:$L$148,"Cumple parcial")</f>
        <v>0</v>
      </c>
      <c r="I10" s="3">
        <f>COUNTIFS('lista de verificación'!$C$2:$C$148,D10,'lista de verificación'!$L$2:$L$148,"No cumple")</f>
        <v>0</v>
      </c>
      <c r="J10" s="3">
        <f>COUNTIFS('lista de verificación'!$C$2:$C$148,D10,'lista de verificación'!$L$2:$L$148,"No aplica")</f>
        <v>0</v>
      </c>
      <c r="K10" s="12">
        <f>IFERROR(SUMIFS('lista de verificación'!$M$2:$M$148,'lista de verificación'!$C$2:$C$148,D10)/COUNTIFS('lista de verificación'!$C$2:$C$148,D10,'lista de verificación'!$M$2:$M$148,"&gt;=0"),0)</f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3" t="s">
        <v>892</v>
      </c>
      <c r="B11" s="3">
        <f>COUNTIF('lista de verificación'!$L$2:$L$148,A11)</f>
        <v>0</v>
      </c>
      <c r="C11" s="3"/>
      <c r="D11" s="3"/>
      <c r="E11" s="3"/>
      <c r="F11" s="3"/>
      <c r="G11" s="3"/>
      <c r="H11" s="3"/>
      <c r="I11" s="3"/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3" t="s">
        <v>903</v>
      </c>
      <c r="B12" s="3">
        <f>COUNTIF('lista de verificación'!$L$2:$L$148,A12)</f>
        <v>0</v>
      </c>
      <c r="C12" s="3"/>
      <c r="D12" s="3"/>
      <c r="E12" s="3"/>
      <c r="F12" s="3"/>
      <c r="G12" s="3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3" t="s">
        <v>894</v>
      </c>
      <c r="B13" s="3">
        <f>COUNTIF('lista de verificación'!$L$2:$L$148,A13)</f>
        <v>0</v>
      </c>
      <c r="C13" s="3"/>
      <c r="D13" s="3"/>
      <c r="E13" s="3"/>
      <c r="F13" s="3"/>
      <c r="G13" s="3"/>
      <c r="H13" s="3"/>
      <c r="I13" s="3"/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3" t="s">
        <v>895</v>
      </c>
      <c r="B14" s="3">
        <f>COUNTIF('lista de verificación'!$L$2:$L$148,A14)</f>
        <v>0</v>
      </c>
      <c r="C14" s="3"/>
      <c r="D14" s="3"/>
      <c r="E14" s="3"/>
      <c r="F14" s="3"/>
      <c r="G14" s="3"/>
      <c r="H14" s="3"/>
      <c r="I14" s="3"/>
      <c r="J14" s="3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3" t="s">
        <v>51</v>
      </c>
      <c r="B15" s="3">
        <f>COUNTIF('lista de verificación'!$L$2:$L$148,A15)</f>
        <v>147</v>
      </c>
      <c r="C15" s="3"/>
      <c r="D15" s="3"/>
      <c r="E15" s="3"/>
      <c r="F15" s="3"/>
      <c r="G15" s="3"/>
      <c r="H15" s="3"/>
      <c r="I15" s="3"/>
      <c r="J15" s="3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</sheetData>
  <mergeCells count="1">
    <mergeCell ref="A1:H1"/>
  </mergeCells>
  <conditionalFormatting sqref="K4:K10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{DA12C461-A72D-FADC-ED1B-42B2A151D9C7}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12C461-A72D-FADC-ED1B-42B2A151D9C7}">
            <x14:dataBar>
              <x14:cfvo type="min"/>
              <x14:cfvo type="max"/>
              <x14:negativeFillColor auto="1"/>
              <x14:axisColor auto="1"/>
            </x14:dataBar>
          </x14:cfRule>
          <xm:sqref>K4:K10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0"/>
  <sheetViews>
    <sheetView zoomScaleNormal="100" zoomScaleSheetLayoutView="100" workbookViewId="0">
      <selection activeCell="C10" sqref="C10"/>
    </sheetView>
  </sheetViews>
  <sheetFormatPr baseColWidth="10" defaultColWidth="8.796875" defaultRowHeight="13.8"/>
  <cols>
    <col min="1" max="5" width="28" customWidth="1"/>
  </cols>
  <sheetData>
    <row r="1" spans="1:25" ht="14.4">
      <c r="A1" s="11" t="s">
        <v>27</v>
      </c>
      <c r="B1" s="11" t="s">
        <v>29</v>
      </c>
      <c r="C1" s="11" t="s">
        <v>30</v>
      </c>
      <c r="D1" s="11" t="s">
        <v>904</v>
      </c>
      <c r="E1" s="11" t="s">
        <v>905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>
      <c r="A2" s="2" t="s">
        <v>51</v>
      </c>
      <c r="B2" s="2" t="s">
        <v>906</v>
      </c>
      <c r="C2" s="2" t="s">
        <v>907</v>
      </c>
      <c r="D2" s="2" t="s">
        <v>908</v>
      </c>
      <c r="E2" s="2" t="s">
        <v>909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>
      <c r="A3" s="2" t="s">
        <v>892</v>
      </c>
      <c r="B3" s="2" t="s">
        <v>910</v>
      </c>
      <c r="C3" s="2" t="s">
        <v>911</v>
      </c>
      <c r="D3" s="2" t="s">
        <v>912</v>
      </c>
      <c r="E3" s="2" t="s">
        <v>913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2" t="s">
        <v>903</v>
      </c>
      <c r="B4" s="2" t="s">
        <v>914</v>
      </c>
      <c r="C4" s="2" t="s">
        <v>915</v>
      </c>
      <c r="D4" s="2" t="s">
        <v>910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>
      <c r="A5" s="2" t="s">
        <v>894</v>
      </c>
      <c r="B5" s="2" t="s">
        <v>916</v>
      </c>
      <c r="C5" s="2" t="s">
        <v>895</v>
      </c>
      <c r="D5" s="2" t="s">
        <v>917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2" t="s">
        <v>895</v>
      </c>
      <c r="B6" s="2" t="s">
        <v>918</v>
      </c>
      <c r="C6" s="2"/>
      <c r="D6" s="2" t="s">
        <v>49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2"/>
      <c r="B7" s="2"/>
      <c r="C7" s="2"/>
      <c r="D7" s="2" t="s">
        <v>217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2"/>
      <c r="B8" s="2"/>
      <c r="C8" s="2"/>
      <c r="D8" s="2" t="s">
        <v>534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2"/>
      <c r="B9" s="2"/>
      <c r="C9" s="2"/>
      <c r="D9" s="2" t="s">
        <v>821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00"/>
  <sheetViews>
    <sheetView zoomScaleNormal="100" zoomScaleSheetLayoutView="100" workbookViewId="0">
      <selection sqref="A1:B1"/>
    </sheetView>
  </sheetViews>
  <sheetFormatPr baseColWidth="10" defaultColWidth="8.796875" defaultRowHeight="13.8"/>
  <cols>
    <col min="1" max="1" width="24" customWidth="1"/>
    <col min="2" max="2" width="95" customWidth="1"/>
  </cols>
  <sheetData>
    <row r="1" spans="1:25" ht="15.6">
      <c r="A1" s="17" t="s">
        <v>919</v>
      </c>
      <c r="B1" s="18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>
      <c r="A3" s="14" t="s">
        <v>920</v>
      </c>
      <c r="B3" s="2" t="s">
        <v>921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14" t="s">
        <v>922</v>
      </c>
      <c r="B4" s="2" t="s">
        <v>923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>
      <c r="A5" s="14" t="s">
        <v>924</v>
      </c>
      <c r="B5" s="2" t="s">
        <v>925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14" t="s">
        <v>926</v>
      </c>
      <c r="B6" s="2" t="s">
        <v>927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4" t="s">
        <v>928</v>
      </c>
      <c r="B7" s="2" t="s">
        <v>929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4" t="s">
        <v>930</v>
      </c>
      <c r="B8" s="2" t="s">
        <v>931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09BBE984D3C346BF7ACC4947C32BFA" ma:contentTypeVersion="10" ma:contentTypeDescription="Crear nuevo documento." ma:contentTypeScope="" ma:versionID="cd13228d2a371c12a6d18dfb666d9c17">
  <xsd:schema xmlns:xsd="http://www.w3.org/2001/XMLSchema" xmlns:xs="http://www.w3.org/2001/XMLSchema" xmlns:p="http://schemas.microsoft.com/office/2006/metadata/properties" xmlns:ns2="9b68cfa5-0484-41ec-8fe2-30757c881919" targetNamespace="http://schemas.microsoft.com/office/2006/metadata/properties" ma:root="true" ma:fieldsID="0cb0c34dec7789ed3f69edc7f5f17c5a" ns2:_="">
    <xsd:import namespace="9b68cfa5-0484-41ec-8fe2-30757c8819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8cfa5-0484-41ec-8fe2-30757c881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88028f2-e733-45e3-8f0b-baaba6158d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8cfa5-0484-41ec-8fe2-30757c8819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C048AF-7D45-43A4-883C-954DF36ABE3C}"/>
</file>

<file path=customXml/itemProps2.xml><?xml version="1.0" encoding="utf-8"?>
<ds:datastoreItem xmlns:ds="http://schemas.openxmlformats.org/officeDocument/2006/customXml" ds:itemID="{327E3CF2-7F3C-493D-B6E6-1A0EB8A347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5D1CC-C079-4084-905A-8A76710F814E}">
  <ds:schemaRefs>
    <ds:schemaRef ds:uri="http://schemas.microsoft.com/office/2006/metadata/properties"/>
    <ds:schemaRef ds:uri="http://schemas.microsoft.com/office/infopath/2007/PartnerControls"/>
    <ds:schemaRef ds:uri="9b68cfa5-0484-41ec-8fe2-30757c8819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 de verificación</vt:lpstr>
      <vt:lpstr>Instrucciones</vt:lpstr>
      <vt:lpstr>Resumen</vt:lpstr>
      <vt:lpstr>Catalogos</vt:lpstr>
      <vt:lpstr>Fuentes_Notas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Alejandra Isabel Marrugo Quintero - Analista Estrategi</cp:lastModifiedBy>
  <cp:revision/>
  <dcterms:created xsi:type="dcterms:W3CDTF">2026-06-17T21:31:31Z</dcterms:created>
  <dcterms:modified xsi:type="dcterms:W3CDTF">2026-06-24T19:00:48Z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0x0101003D09BBE984D3C346BF7ACC4947C32BFA</vt:lpwstr>
  </property>
  <property fmtid="{D5CDD505-2E9C-101B-9397-08002B2CF9AE}" pid="3" name="MediaServiceImageTags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